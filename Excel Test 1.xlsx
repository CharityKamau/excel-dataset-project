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C738A6-1250-4967-827B-0C01AADBCDEA}" xr6:coauthVersionLast="47" xr6:coauthVersionMax="47" xr10:uidLastSave="{00000000-0000-0000-0000-000000000000}"/>
  <bookViews>
    <workbookView xWindow="-108" yWindow="-108" windowWidth="23256" windowHeight="12456" activeTab="3" xr2:uid="{0A00B8A6-3FE2-4FA6-B7D4-3EC625C95426}"/>
  </bookViews>
  <sheets>
    <sheet name="Instructions" sheetId="3" r:id="rId1"/>
    <sheet name="PIV" sheetId="4" r:id="rId2"/>
    <sheet name="Database" sheetId="1" r:id="rId3"/>
    <sheet name="Sheet1" sheetId="5" r:id="rId4"/>
    <sheet name="Data Table" sheetId="2" r:id="rId5"/>
  </sheets>
  <definedNames>
    <definedName name="_xlnm._FilterDatabase" localSheetId="2" hidden="1">Database!$A$1:$Y$101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V101" i="1"/>
  <c r="U101" i="1"/>
  <c r="V99" i="1"/>
  <c r="U99" i="1"/>
  <c r="V97" i="1"/>
  <c r="U97" i="1"/>
  <c r="V95" i="1"/>
  <c r="U95" i="1"/>
  <c r="V93" i="1"/>
  <c r="U93" i="1"/>
  <c r="V91" i="1"/>
  <c r="U91" i="1"/>
  <c r="V89" i="1"/>
  <c r="U89" i="1"/>
  <c r="V87" i="1"/>
  <c r="U87" i="1"/>
  <c r="V85" i="1"/>
  <c r="U85" i="1"/>
  <c r="V83" i="1"/>
  <c r="U83" i="1"/>
  <c r="V81" i="1"/>
  <c r="U81" i="1"/>
  <c r="V79" i="1"/>
  <c r="U79" i="1"/>
  <c r="V77" i="1"/>
  <c r="U77" i="1"/>
  <c r="V75" i="1"/>
  <c r="U75" i="1"/>
  <c r="V73" i="1"/>
  <c r="U73" i="1"/>
  <c r="V71" i="1"/>
  <c r="U71" i="1"/>
  <c r="V69" i="1"/>
  <c r="U69" i="1"/>
  <c r="V67" i="1"/>
  <c r="U67" i="1"/>
  <c r="V65" i="1"/>
  <c r="U65" i="1"/>
  <c r="V63" i="1"/>
  <c r="U63" i="1"/>
  <c r="V61" i="1"/>
  <c r="U61" i="1"/>
  <c r="V59" i="1"/>
  <c r="U59" i="1"/>
  <c r="V57" i="1"/>
  <c r="U57" i="1"/>
  <c r="V55" i="1"/>
  <c r="U55" i="1"/>
  <c r="V53" i="1"/>
  <c r="U53" i="1"/>
  <c r="V51" i="1"/>
  <c r="U51" i="1"/>
  <c r="V49" i="1"/>
  <c r="U49" i="1"/>
  <c r="V47" i="1"/>
  <c r="U47" i="1"/>
  <c r="V45" i="1"/>
  <c r="U45" i="1"/>
  <c r="V43" i="1"/>
  <c r="U43" i="1"/>
  <c r="V41" i="1"/>
  <c r="U41" i="1"/>
  <c r="V39" i="1"/>
  <c r="U39" i="1"/>
  <c r="V37" i="1"/>
  <c r="U37" i="1"/>
  <c r="V35" i="1"/>
  <c r="U35" i="1"/>
  <c r="V33" i="1"/>
  <c r="U33" i="1"/>
  <c r="V31" i="1"/>
  <c r="U31" i="1"/>
  <c r="V29" i="1"/>
  <c r="U29" i="1"/>
  <c r="V27" i="1"/>
  <c r="U27" i="1"/>
  <c r="V25" i="1"/>
  <c r="U25" i="1"/>
  <c r="V23" i="1"/>
  <c r="U23" i="1"/>
  <c r="V21" i="1"/>
  <c r="U21" i="1"/>
  <c r="V19" i="1"/>
  <c r="U19" i="1"/>
  <c r="V17" i="1"/>
  <c r="U17" i="1"/>
  <c r="V15" i="1"/>
  <c r="U15" i="1"/>
  <c r="V13" i="1"/>
  <c r="U13" i="1"/>
  <c r="V11" i="1"/>
  <c r="U11" i="1"/>
  <c r="V9" i="1"/>
  <c r="U9" i="1"/>
  <c r="V7" i="1"/>
  <c r="U7" i="1"/>
  <c r="V5" i="1"/>
  <c r="U5" i="1"/>
  <c r="U102" i="1" s="1"/>
  <c r="V3" i="1"/>
  <c r="X4" i="1"/>
  <c r="X2" i="1"/>
  <c r="V102" i="1" l="1"/>
</calcChain>
</file>

<file path=xl/sharedStrings.xml><?xml version="1.0" encoding="utf-8"?>
<sst xmlns="http://schemas.openxmlformats.org/spreadsheetml/2006/main" count="1631" uniqueCount="315">
  <si>
    <t>INDEX</t>
  </si>
  <si>
    <t>PREFIX</t>
  </si>
  <si>
    <t>FIRSTNAME</t>
  </si>
  <si>
    <t>LASTNAME</t>
  </si>
  <si>
    <t>BIRTHDATE</t>
  </si>
  <si>
    <t>ZODIAC</t>
  </si>
  <si>
    <t>HEIGHT (CMS)</t>
  </si>
  <si>
    <t>WEIGHT (KGS)</t>
  </si>
  <si>
    <t>EYECOLOR</t>
  </si>
  <si>
    <t>BLOODTYPE</t>
  </si>
  <si>
    <t>HAIRTYPE</t>
  </si>
  <si>
    <t>HAIRCOLOR</t>
  </si>
  <si>
    <t>SPORTS LOCATION</t>
  </si>
  <si>
    <t>SPORTS</t>
  </si>
  <si>
    <t>FAVORITE COLOR</t>
  </si>
  <si>
    <t>SEX</t>
  </si>
  <si>
    <t>LANGUAGE</t>
  </si>
  <si>
    <t>COUNTRY</t>
  </si>
  <si>
    <t>COUNTRYCODE</t>
  </si>
  <si>
    <t>Ms.</t>
  </si>
  <si>
    <t>Annie</t>
  </si>
  <si>
    <t>Abbott</t>
  </si>
  <si>
    <t>Libra</t>
  </si>
  <si>
    <t>Green</t>
  </si>
  <si>
    <t>A−</t>
  </si>
  <si>
    <t>Strands</t>
  </si>
  <si>
    <t>Black</t>
  </si>
  <si>
    <t>INDOOR</t>
  </si>
  <si>
    <t>Cycling Track</t>
  </si>
  <si>
    <t>silver</t>
  </si>
  <si>
    <t>Female</t>
  </si>
  <si>
    <t>English</t>
  </si>
  <si>
    <t>USA</t>
  </si>
  <si>
    <t>US</t>
  </si>
  <si>
    <t>Aurelie</t>
  </si>
  <si>
    <t>Liesuchke</t>
  </si>
  <si>
    <t>Aquarius</t>
  </si>
  <si>
    <t>Brown</t>
  </si>
  <si>
    <t>O−</t>
  </si>
  <si>
    <t>Curly</t>
  </si>
  <si>
    <t>Blond</t>
  </si>
  <si>
    <t>Boxing</t>
  </si>
  <si>
    <t>blue</t>
  </si>
  <si>
    <t>Sr.</t>
  </si>
  <si>
    <t>Tomas</t>
  </si>
  <si>
    <t>Filho</t>
  </si>
  <si>
    <t>Cancer</t>
  </si>
  <si>
    <t>Amber</t>
  </si>
  <si>
    <t>Straight</t>
  </si>
  <si>
    <t>OUTDOOR</t>
  </si>
  <si>
    <t>Football</t>
  </si>
  <si>
    <t>teal</t>
  </si>
  <si>
    <t>Male</t>
  </si>
  <si>
    <t>Portuguese</t>
  </si>
  <si>
    <t>BRAZIL</t>
  </si>
  <si>
    <t>BR</t>
  </si>
  <si>
    <t>Darby</t>
  </si>
  <si>
    <t>Cruickshank</t>
  </si>
  <si>
    <t>Taurus</t>
  </si>
  <si>
    <t>Alpine Skiing</t>
  </si>
  <si>
    <t>aqua</t>
  </si>
  <si>
    <t>Dr.</t>
  </si>
  <si>
    <t>Jaydon</t>
  </si>
  <si>
    <t>Borer</t>
  </si>
  <si>
    <t>Blue</t>
  </si>
  <si>
    <t>B−</t>
  </si>
  <si>
    <t>Wavy</t>
  </si>
  <si>
    <t>Water Polo</t>
  </si>
  <si>
    <t>gray</t>
  </si>
  <si>
    <t>Mr.</t>
  </si>
  <si>
    <t xml:space="preserve">Moriah </t>
  </si>
  <si>
    <t>Lynch</t>
  </si>
  <si>
    <t>Sagittarius</t>
  </si>
  <si>
    <t>Fencing</t>
  </si>
  <si>
    <t>Amiya</t>
  </si>
  <si>
    <t>Eichmann</t>
  </si>
  <si>
    <t>Leo</t>
  </si>
  <si>
    <t>Cycling Road</t>
  </si>
  <si>
    <t>olive</t>
  </si>
  <si>
    <t>Pierce</t>
  </si>
  <si>
    <t>Rau</t>
  </si>
  <si>
    <t>A+</t>
  </si>
  <si>
    <t>Auburn</t>
  </si>
  <si>
    <t>Curling</t>
  </si>
  <si>
    <t>black</t>
  </si>
  <si>
    <t>Amelia</t>
  </si>
  <si>
    <t>Stevens</t>
  </si>
  <si>
    <t>Shooting</t>
  </si>
  <si>
    <t>UK</t>
  </si>
  <si>
    <t>GB</t>
  </si>
  <si>
    <t>Toby</t>
  </si>
  <si>
    <t>Simpson</t>
  </si>
  <si>
    <t>O+</t>
  </si>
  <si>
    <t>Sir</t>
  </si>
  <si>
    <t>Ethan</t>
  </si>
  <si>
    <t>Murphy</t>
  </si>
  <si>
    <t>Scorpio</t>
  </si>
  <si>
    <t>Freestyle Skiing</t>
  </si>
  <si>
    <t>maroon</t>
  </si>
  <si>
    <t>Mrs.</t>
  </si>
  <si>
    <t>Ashley</t>
  </si>
  <si>
    <t>Wood</t>
  </si>
  <si>
    <t>Archery</t>
  </si>
  <si>
    <t>Megan</t>
  </si>
  <si>
    <t>Scott</t>
  </si>
  <si>
    <t>Rugby</t>
  </si>
  <si>
    <t>white</t>
  </si>
  <si>
    <t>Hr.</t>
  </si>
  <si>
    <t>Helmut</t>
  </si>
  <si>
    <t>Weinhae</t>
  </si>
  <si>
    <t>Virgo</t>
  </si>
  <si>
    <t>Gray</t>
  </si>
  <si>
    <t>Very curly</t>
  </si>
  <si>
    <t>Canoe Sprint</t>
  </si>
  <si>
    <t>green</t>
  </si>
  <si>
    <t>German</t>
  </si>
  <si>
    <t>GERMANY</t>
  </si>
  <si>
    <t>DE</t>
  </si>
  <si>
    <t>Prof.</t>
  </si>
  <si>
    <t>Milena</t>
  </si>
  <si>
    <t>Schotin</t>
  </si>
  <si>
    <t>Pisces</t>
  </si>
  <si>
    <t>Cycling BMX</t>
  </si>
  <si>
    <t>Lothar</t>
  </si>
  <si>
    <t>Birnbaum</t>
  </si>
  <si>
    <t>Pietro</t>
  </si>
  <si>
    <t>Stolze</t>
  </si>
  <si>
    <t>Handball</t>
  </si>
  <si>
    <t xml:space="preserve">Richard </t>
  </si>
  <si>
    <t>Tlustek</t>
  </si>
  <si>
    <t>Cycling Mountain Bike</t>
  </si>
  <si>
    <t>fuchsia</t>
  </si>
  <si>
    <t>Earnestine</t>
  </si>
  <si>
    <t>Raynor</t>
  </si>
  <si>
    <t>Short Track Speed Skating</t>
  </si>
  <si>
    <t>navy</t>
  </si>
  <si>
    <t>AUSTRALIA</t>
  </si>
  <si>
    <t>OZ</t>
  </si>
  <si>
    <t>Jason</t>
  </si>
  <si>
    <t>Gaylord</t>
  </si>
  <si>
    <t>Capricorn</t>
  </si>
  <si>
    <t>Basketball</t>
  </si>
  <si>
    <t>purple</t>
  </si>
  <si>
    <t>Kendrick</t>
  </si>
  <si>
    <t>Sauer</t>
  </si>
  <si>
    <t>Triathlon</t>
  </si>
  <si>
    <t>Annabell</t>
  </si>
  <si>
    <t>Olson</t>
  </si>
  <si>
    <t>Aries</t>
  </si>
  <si>
    <t>Equestrian / Dressage</t>
  </si>
  <si>
    <t>Jena</t>
  </si>
  <si>
    <t>Upton</t>
  </si>
  <si>
    <t>Beach Volleyball</t>
  </si>
  <si>
    <t>Shanny</t>
  </si>
  <si>
    <t>Bins</t>
  </si>
  <si>
    <t>Canoe Slalom</t>
  </si>
  <si>
    <t>Tia</t>
  </si>
  <si>
    <t>Abshire</t>
  </si>
  <si>
    <t>Isabel</t>
  </si>
  <si>
    <t>Runolfsdottir</t>
  </si>
  <si>
    <t>B+</t>
  </si>
  <si>
    <t>Barney</t>
  </si>
  <si>
    <t>Wesack</t>
  </si>
  <si>
    <t>Volleyball</t>
  </si>
  <si>
    <t>AUSTRIA</t>
  </si>
  <si>
    <t>AU</t>
  </si>
  <si>
    <t>Baruch</t>
  </si>
  <si>
    <t>Kade</t>
  </si>
  <si>
    <t>Chestnut</t>
  </si>
  <si>
    <t>Liesbeth</t>
  </si>
  <si>
    <t>Rosemann</t>
  </si>
  <si>
    <t>Mme.</t>
  </si>
  <si>
    <t>Valentine</t>
  </si>
  <si>
    <t>Moreau</t>
  </si>
  <si>
    <t>Golf</t>
  </si>
  <si>
    <t>French</t>
  </si>
  <si>
    <t>FRANCE</t>
  </si>
  <si>
    <t>FR</t>
  </si>
  <si>
    <t>Paulette</t>
  </si>
  <si>
    <t>Durand</t>
  </si>
  <si>
    <t>Laure-Alix</t>
  </si>
  <si>
    <t>Chevalier</t>
  </si>
  <si>
    <t>yellow</t>
  </si>
  <si>
    <t>M.</t>
  </si>
  <si>
    <t>Claude</t>
  </si>
  <si>
    <t>Toussaint</t>
  </si>
  <si>
    <t>Diving</t>
  </si>
  <si>
    <t>Victor</t>
  </si>
  <si>
    <t>Lenoir</t>
  </si>
  <si>
    <t>Arthur</t>
  </si>
  <si>
    <t>Hockey</t>
  </si>
  <si>
    <t>Benjamin</t>
  </si>
  <si>
    <t>Lebrun-Brun</t>
  </si>
  <si>
    <t>Antoine</t>
  </si>
  <si>
    <t>Maillard</t>
  </si>
  <si>
    <t>Sailing</t>
  </si>
  <si>
    <t>Bernard</t>
  </si>
  <si>
    <t>Hoarau-Guyon</t>
  </si>
  <si>
    <t>Hidalgo</t>
  </si>
  <si>
    <t>Tercero</t>
  </si>
  <si>
    <t>lime</t>
  </si>
  <si>
    <t>Spanish</t>
  </si>
  <si>
    <t>ARGENTINA</t>
  </si>
  <si>
    <t>AG</t>
  </si>
  <si>
    <t>Hadalgo</t>
  </si>
  <si>
    <t>Polanco</t>
  </si>
  <si>
    <t>Gemini</t>
  </si>
  <si>
    <t>Sra.</t>
  </si>
  <si>
    <t>Laura</t>
  </si>
  <si>
    <t>Oliviera</t>
  </si>
  <si>
    <t>Athletics</t>
  </si>
  <si>
    <t>Ainhoa</t>
  </si>
  <si>
    <t>Garza</t>
  </si>
  <si>
    <t>Gymnastics Artistic</t>
  </si>
  <si>
    <t>SPAIN</t>
  </si>
  <si>
    <t>ES</t>
  </si>
  <si>
    <t>Banda</t>
  </si>
  <si>
    <t>Carolota</t>
  </si>
  <si>
    <t>Mateos</t>
  </si>
  <si>
    <t>Mw.</t>
  </si>
  <si>
    <t>Elize</t>
  </si>
  <si>
    <t>Prins</t>
  </si>
  <si>
    <t>Judo</t>
  </si>
  <si>
    <t>donkergroen</t>
  </si>
  <si>
    <t>Dutch</t>
  </si>
  <si>
    <t>NETHERLANDS</t>
  </si>
  <si>
    <t>DU</t>
  </si>
  <si>
    <t>dhr.</t>
  </si>
  <si>
    <t>Ryan</t>
  </si>
  <si>
    <t>Pham</t>
  </si>
  <si>
    <t>groenblauw</t>
  </si>
  <si>
    <t>Mw</t>
  </si>
  <si>
    <t>Elise</t>
  </si>
  <si>
    <t>Rotteveel</t>
  </si>
  <si>
    <t>zwart</t>
  </si>
  <si>
    <t>Fru.</t>
  </si>
  <si>
    <t>Mirjam</t>
  </si>
  <si>
    <t>Soderberg</t>
  </si>
  <si>
    <t>Swedish</t>
  </si>
  <si>
    <t>SWEDEN</t>
  </si>
  <si>
    <t>SV</t>
  </si>
  <si>
    <t>H.</t>
  </si>
  <si>
    <t>Berndt</t>
  </si>
  <si>
    <t>Palsson</t>
  </si>
  <si>
    <t>Biathlon</t>
  </si>
  <si>
    <t>Adriano</t>
  </si>
  <si>
    <t>Sobrinho</t>
  </si>
  <si>
    <t>Swimming</t>
  </si>
  <si>
    <t>PR</t>
  </si>
  <si>
    <t>Cost</t>
  </si>
  <si>
    <t>Stats</t>
  </si>
  <si>
    <t xml:space="preserve">Country </t>
  </si>
  <si>
    <t>Times per week</t>
  </si>
  <si>
    <t>Create a Pivot table: in rows, show both their sex and sports location. Under values, the count of the sports location</t>
  </si>
  <si>
    <t>Use a Vlookup function: Under Cost column – do a vlookup based on their country how much does the facility cost</t>
  </si>
  <si>
    <t>Use an Ifs function: in column V Stats: If their sex is female, return their hair type, if male, return their hair color</t>
  </si>
  <si>
    <t>Lifetime Revenue</t>
  </si>
  <si>
    <t>Family Membership Count</t>
  </si>
  <si>
    <t>Annual Income</t>
  </si>
  <si>
    <t>Underneath subtotal data - figure how much Lifetime Revenue we have gotten for each member for both Female &amp; Male</t>
  </si>
  <si>
    <t>Subtotal Data (do not use a pivot table): at each change in sex, sum 'Times per Week', 'Lifetime Revenue', 'Family Membership Count', 'Annual Income', &amp; 'Cost'</t>
  </si>
  <si>
    <t>Row Labels</t>
  </si>
  <si>
    <t>(blank)</t>
  </si>
  <si>
    <t>Grand Total</t>
  </si>
  <si>
    <t>Count of SPORTS LOCATION</t>
  </si>
  <si>
    <t>Annie Average</t>
  </si>
  <si>
    <t>Aurelie Average</t>
  </si>
  <si>
    <t>Tomas Average</t>
  </si>
  <si>
    <t>Darby Average</t>
  </si>
  <si>
    <t>Jaydon Average</t>
  </si>
  <si>
    <t>Moriah  Average</t>
  </si>
  <si>
    <t>Amiya Average</t>
  </si>
  <si>
    <t>Pierce Average</t>
  </si>
  <si>
    <t>Amelia Average</t>
  </si>
  <si>
    <t>Toby Average</t>
  </si>
  <si>
    <t>Ethan Average</t>
  </si>
  <si>
    <t>Ashley Average</t>
  </si>
  <si>
    <t>Megan Average</t>
  </si>
  <si>
    <t>Helmut Average</t>
  </si>
  <si>
    <t>Milena Average</t>
  </si>
  <si>
    <t>Lothar Average</t>
  </si>
  <si>
    <t>Pietro Average</t>
  </si>
  <si>
    <t>Richard  Average</t>
  </si>
  <si>
    <t>Earnestine Average</t>
  </si>
  <si>
    <t>Jason Average</t>
  </si>
  <si>
    <t>Kendrick Average</t>
  </si>
  <si>
    <t>Annabell Average</t>
  </si>
  <si>
    <t>Jena Average</t>
  </si>
  <si>
    <t>Shanny Average</t>
  </si>
  <si>
    <t>Tia Average</t>
  </si>
  <si>
    <t>Isabel Average</t>
  </si>
  <si>
    <t>Barney Average</t>
  </si>
  <si>
    <t>Baruch Average</t>
  </si>
  <si>
    <t>Liesbeth Average</t>
  </si>
  <si>
    <t>Valentine Average</t>
  </si>
  <si>
    <t>Paulette Average</t>
  </si>
  <si>
    <t>Laure-Alix Average</t>
  </si>
  <si>
    <t>Claude Average</t>
  </si>
  <si>
    <t>Victor Average</t>
  </si>
  <si>
    <t>Arthur Average</t>
  </si>
  <si>
    <t>Benjamin Average</t>
  </si>
  <si>
    <t>Antoine Average</t>
  </si>
  <si>
    <t>Bernard Average</t>
  </si>
  <si>
    <t>Hidalgo Average</t>
  </si>
  <si>
    <t>Hadalgo Average</t>
  </si>
  <si>
    <t>Laura Average</t>
  </si>
  <si>
    <t>Ainhoa Average</t>
  </si>
  <si>
    <t>Carolota Average</t>
  </si>
  <si>
    <t>Elize Average</t>
  </si>
  <si>
    <t>Ryan Average</t>
  </si>
  <si>
    <t>Elise Average</t>
  </si>
  <si>
    <t>Mirjam Average</t>
  </si>
  <si>
    <t>Berndt Average</t>
  </si>
  <si>
    <t>Adriano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</si>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</sst>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m/dd/yyyy"/>
    <numFmt numFmtId="166" formatCode="0.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D0E2"/>
        <bgColor rgb="FFB0D0E2"/>
      </patternFill>
    </fill>
    <fill>
      <patternFill patternType="solid">
        <fgColor theme="9" tint="0.79998168889431442"/>
        <bgColor rgb="FFB0D0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textRotation="90"/>
    </xf>
    <xf numFmtId="165" fontId="1" fillId="2" borderId="0" xfId="0" applyNumberFormat="1" applyFont="1" applyFill="1" applyAlignment="1">
      <alignment horizontal="right" textRotation="90"/>
    </xf>
    <xf numFmtId="166" fontId="1" fillId="2" borderId="0" xfId="0" applyNumberFormat="1" applyFont="1" applyFill="1" applyAlignment="1">
      <alignment textRotation="90"/>
    </xf>
    <xf numFmtId="0" fontId="1" fillId="2" borderId="0" xfId="0" applyFont="1" applyFill="1" applyAlignment="1">
      <alignment horizontal="right" textRotation="90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2" fillId="0" borderId="0" xfId="0" applyFont="1"/>
    <xf numFmtId="166" fontId="0" fillId="0" borderId="0" xfId="0" applyNumberFormat="1"/>
    <xf numFmtId="0" fontId="0" fillId="0" borderId="0" xfId="0" applyAlignment="1">
      <alignment horizontal="right"/>
    </xf>
    <xf numFmtId="0" fontId="1" fillId="3" borderId="0" xfId="0" applyFont="1" applyFill="1" applyAlignment="1">
      <alignment textRotation="90"/>
    </xf>
    <xf numFmtId="0" fontId="3" fillId="0" borderId="0" xfId="0" applyFont="1" applyAlignment="1">
      <alignment vertical="center"/>
    </xf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 indent="1"/>
    </xf>
    <xf numFmtId="0" fontId="5" fillId="0" borderId="0" xfId="0" applyFont="1" applyAlignment="1">
      <alignment horizontal="left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een Kamau" refreshedDate="45861.669472106485" createdVersion="8" refreshedVersion="8" minRefreshableVersion="3" recordCount="51" xr:uid="{7536E797-A6B6-4896-9609-E9AC5B41EEE6}">
  <cacheSource type="worksheet">
    <worksheetSource ref="A1:Y1048576" sheet="Database"/>
  </cacheSource>
  <cacheFields count="25">
    <cacheField name="INDEX" numFmtId="0">
      <sharedItems containsString="0" containsBlank="1" containsNumber="1" containsInteger="1" minValue="1" maxValue="50"/>
    </cacheField>
    <cacheField name="PREFIX" numFmtId="0">
      <sharedItems containsBlank="1"/>
    </cacheField>
    <cacheField name="FIRSTNAME" numFmtId="0">
      <sharedItems containsBlank="1"/>
    </cacheField>
    <cacheField name="LASTNAME" numFmtId="0">
      <sharedItems containsBlank="1"/>
    </cacheField>
    <cacheField name="BIRTHDATE" numFmtId="0">
      <sharedItems containsNonDate="0" containsDate="1" containsString="0" containsBlank="1" minDate="1955-07-30T00:00:00" maxDate="1999-08-29T00:00:00"/>
    </cacheField>
    <cacheField name="ZODIAC" numFmtId="0">
      <sharedItems containsBlank="1"/>
    </cacheField>
    <cacheField name="HEIGHT (CMS)" numFmtId="0">
      <sharedItems containsString="0" containsBlank="1" containsNumber="1" containsInteger="1" minValue="146" maxValue="206"/>
    </cacheField>
    <cacheField name="WEIGHT (KGS)" numFmtId="0">
      <sharedItems containsString="0" containsBlank="1" containsNumber="1" minValue="45.9" maxValue="105.9"/>
    </cacheField>
    <cacheField name="EYECOLOR" numFmtId="0">
      <sharedItems containsBlank="1"/>
    </cacheField>
    <cacheField name="BLOODTYPE" numFmtId="0">
      <sharedItems containsBlank="1"/>
    </cacheField>
    <cacheField name="HAIRTYPE" numFmtId="0">
      <sharedItems containsBlank="1"/>
    </cacheField>
    <cacheField name="HAIRCOLOR" numFmtId="0">
      <sharedItems containsBlank="1"/>
    </cacheField>
    <cacheField name="SPORTS LOCATION" numFmtId="0">
      <sharedItems containsBlank="1" count="3">
        <s v="INDOOR"/>
        <s v="OUTDOOR"/>
        <m/>
      </sharedItems>
    </cacheField>
    <cacheField name="SPORTS" numFmtId="0">
      <sharedItems containsBlank="1"/>
    </cacheField>
    <cacheField name="FAVORITE COLOR" numFmtId="0">
      <sharedItems containsBlank="1"/>
    </cacheField>
    <cacheField name="SEX" numFmtId="0">
      <sharedItems containsBlank="1" count="3">
        <s v="Female"/>
        <s v="Male"/>
        <m/>
      </sharedItems>
    </cacheField>
    <cacheField name="LANGUAGE" numFmtId="0">
      <sharedItems containsBlank="1"/>
    </cacheField>
    <cacheField name="COUNTRY" numFmtId="0">
      <sharedItems containsBlank="1"/>
    </cacheField>
    <cacheField name="COUNTRYCODE" numFmtId="0">
      <sharedItems containsBlank="1"/>
    </cacheField>
    <cacheField name="Times per week" numFmtId="0">
      <sharedItems containsString="0" containsBlank="1" containsNumber="1" containsInteger="1" minValue="1" maxValue="7"/>
    </cacheField>
    <cacheField name="Lifetime Revenue" numFmtId="0">
      <sharedItems containsString="0" containsBlank="1" containsNumber="1" containsInteger="1" minValue="272" maxValue="9812"/>
    </cacheField>
    <cacheField name="Family Membership Count" numFmtId="0">
      <sharedItems containsString="0" containsBlank="1" containsNumber="1" containsInteger="1" minValue="1" maxValue="5"/>
    </cacheField>
    <cacheField name="Annual Income" numFmtId="0">
      <sharedItems containsString="0" containsBlank="1" containsNumber="1" containsInteger="1" minValue="32371" maxValue="99445"/>
    </cacheField>
    <cacheField name="Cost" numFmtId="0">
      <sharedItems containsNonDate="0" containsString="0" containsBlank="1"/>
    </cacheField>
    <cacheField name="Sta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s v="Ms."/>
    <s v="Annie"/>
    <s v="Abbott"/>
    <d v="1997-09-26T00:00:00"/>
    <s v="Libra"/>
    <n v="205"/>
    <n v="94"/>
    <s v="Green"/>
    <s v="A−"/>
    <s v="Strands"/>
    <s v="Black"/>
    <x v="0"/>
    <s v="Cycling Track"/>
    <s v="silver"/>
    <x v="0"/>
    <s v="English"/>
    <s v="USA"/>
    <s v="US"/>
    <n v="3"/>
    <n v="1264"/>
    <n v="2"/>
    <n v="41680"/>
    <m/>
    <m/>
  </r>
  <r>
    <n v="2"/>
    <s v="Ms."/>
    <s v="Aurelie"/>
    <s v="Liesuchke"/>
    <d v="1992-02-07T00:00:00"/>
    <s v="Aquarius"/>
    <n v="205"/>
    <n v="84.2"/>
    <s v="Brown"/>
    <s v="O−"/>
    <s v="Curly"/>
    <s v="Blond"/>
    <x v="0"/>
    <s v="Boxing"/>
    <s v="blue"/>
    <x v="0"/>
    <s v="English"/>
    <s v="USA"/>
    <s v="US"/>
    <n v="4"/>
    <n v="4948"/>
    <n v="3"/>
    <n v="32371"/>
    <m/>
    <m/>
  </r>
  <r>
    <n v="3"/>
    <s v="Sr."/>
    <s v="Tomas"/>
    <s v="Filho"/>
    <d v="1969-07-10T00:00:00"/>
    <s v="Cancer"/>
    <n v="185"/>
    <n v="52.9"/>
    <s v="Amber"/>
    <s v="A−"/>
    <s v="Straight"/>
    <s v="Blond"/>
    <x v="1"/>
    <s v="Football"/>
    <s v="teal"/>
    <x v="1"/>
    <s v="Portuguese"/>
    <s v="BRAZIL"/>
    <s v="BR"/>
    <n v="6"/>
    <n v="8774"/>
    <n v="4"/>
    <n v="99445"/>
    <m/>
    <m/>
  </r>
  <r>
    <n v="4"/>
    <s v="Ms."/>
    <s v="Darby"/>
    <s v="Cruickshank"/>
    <d v="1975-05-18T00:00:00"/>
    <s v="Taurus"/>
    <n v="175"/>
    <n v="48.9"/>
    <s v="Green"/>
    <s v="O−"/>
    <s v="Strands"/>
    <s v="Black"/>
    <x v="1"/>
    <s v="Alpine Skiing"/>
    <s v="aqua"/>
    <x v="0"/>
    <s v="English"/>
    <s v="USA"/>
    <s v="US"/>
    <n v="5"/>
    <n v="5915"/>
    <n v="3"/>
    <n v="64995"/>
    <m/>
    <m/>
  </r>
  <r>
    <n v="5"/>
    <s v="Dr."/>
    <s v="Jaydon"/>
    <s v="Borer"/>
    <d v="1970-05-18T00:00:00"/>
    <s v="Taurus"/>
    <n v="168"/>
    <n v="84.8"/>
    <s v="Blue"/>
    <s v="B−"/>
    <s v="Wavy"/>
    <s v="Brown"/>
    <x v="0"/>
    <s v="Water Polo"/>
    <s v="gray"/>
    <x v="1"/>
    <s v="English"/>
    <s v="USA"/>
    <s v="US"/>
    <n v="4"/>
    <n v="3566"/>
    <n v="2"/>
    <n v="33868"/>
    <m/>
    <m/>
  </r>
  <r>
    <n v="6"/>
    <s v="Mr."/>
    <s v="Moriah "/>
    <s v="Lynch"/>
    <d v="1992-12-06T00:00:00"/>
    <s v="Sagittarius"/>
    <n v="201"/>
    <n v="83.2"/>
    <s v="Blue"/>
    <s v="O−"/>
    <s v="Wavy"/>
    <s v="Black"/>
    <x v="0"/>
    <s v="Fencing"/>
    <s v="teal"/>
    <x v="1"/>
    <s v="English"/>
    <s v="USA"/>
    <s v="US"/>
    <n v="1"/>
    <n v="2307"/>
    <n v="5"/>
    <n v="69315"/>
    <m/>
    <m/>
  </r>
  <r>
    <n v="7"/>
    <s v="Ms."/>
    <s v="Amiya"/>
    <s v="Eichmann"/>
    <d v="1999-07-29T00:00:00"/>
    <s v="Leo"/>
    <n v="164"/>
    <n v="61.1"/>
    <s v="Blue"/>
    <s v="B−"/>
    <s v="Wavy"/>
    <s v="Brown"/>
    <x v="1"/>
    <s v="Cycling Road"/>
    <s v="olive"/>
    <x v="0"/>
    <s v="English"/>
    <s v="USA"/>
    <s v="US"/>
    <n v="1"/>
    <n v="2665"/>
    <n v="4"/>
    <n v="96100"/>
    <m/>
    <m/>
  </r>
  <r>
    <n v="8"/>
    <s v="Mr."/>
    <s v="Pierce"/>
    <s v="Rau"/>
    <d v="1963-05-10T00:00:00"/>
    <s v="Taurus"/>
    <n v="191"/>
    <n v="105.7"/>
    <s v="Amber"/>
    <s v="A+"/>
    <s v="Straight"/>
    <s v="Auburn"/>
    <x v="0"/>
    <s v="Curling"/>
    <s v="black"/>
    <x v="1"/>
    <s v="English"/>
    <s v="USA"/>
    <s v="US"/>
    <n v="5"/>
    <n v="3490"/>
    <n v="3"/>
    <n v="42148"/>
    <m/>
    <m/>
  </r>
  <r>
    <n v="9"/>
    <s v="Ms."/>
    <s v="Amelia"/>
    <s v="Stevens"/>
    <d v="1971-02-01T00:00:00"/>
    <s v="Aquarius"/>
    <n v="167"/>
    <n v="65.3"/>
    <s v="Blue"/>
    <s v="A+"/>
    <s v="Wavy"/>
    <s v="Blond"/>
    <x v="0"/>
    <s v="Shooting"/>
    <s v="silver"/>
    <x v="0"/>
    <s v="English"/>
    <s v="UK"/>
    <s v="GB"/>
    <n v="2"/>
    <n v="608"/>
    <n v="2"/>
    <n v="70164"/>
    <m/>
    <m/>
  </r>
  <r>
    <n v="10"/>
    <s v="Mr."/>
    <s v="Toby"/>
    <s v="Simpson"/>
    <d v="1964-12-21T00:00:00"/>
    <s v="Sagittarius"/>
    <n v="160"/>
    <n v="62.9"/>
    <s v="Amber"/>
    <s v="O+"/>
    <s v="Straight"/>
    <s v="Brown"/>
    <x v="1"/>
    <s v="Cycling Road"/>
    <s v="blue"/>
    <x v="1"/>
    <s v="English"/>
    <s v="UK"/>
    <s v="GB"/>
    <n v="3"/>
    <n v="5375"/>
    <n v="4"/>
    <n v="60241"/>
    <m/>
    <m/>
  </r>
  <r>
    <n v="11"/>
    <s v="Sir"/>
    <s v="Ethan"/>
    <s v="Murphy"/>
    <d v="1986-11-17T00:00:00"/>
    <s v="Scorpio"/>
    <n v="190"/>
    <n v="104.3"/>
    <s v="Brown"/>
    <s v="O+"/>
    <s v="Curly"/>
    <s v="Auburn"/>
    <x v="1"/>
    <s v="Freestyle Skiing"/>
    <s v="maroon"/>
    <x v="1"/>
    <s v="English"/>
    <s v="UK"/>
    <s v="GB"/>
    <n v="2"/>
    <n v="3234"/>
    <n v="2"/>
    <n v="73958"/>
    <m/>
    <m/>
  </r>
  <r>
    <n v="12"/>
    <s v="Mrs."/>
    <s v="Ashley"/>
    <s v="Wood"/>
    <d v="1977-10-14T00:00:00"/>
    <s v="Libra"/>
    <n v="181"/>
    <n v="100.7"/>
    <s v="Brown"/>
    <s v="O+"/>
    <s v="Curly"/>
    <s v="Black"/>
    <x v="1"/>
    <s v="Archery"/>
    <s v="black"/>
    <x v="0"/>
    <s v="English"/>
    <s v="UK"/>
    <s v="GB"/>
    <n v="4"/>
    <n v="1324"/>
    <n v="3"/>
    <n v="89950"/>
    <m/>
    <m/>
  </r>
  <r>
    <n v="13"/>
    <s v="Ms."/>
    <s v="Megan"/>
    <s v="Scott"/>
    <d v="1977-02-12T00:00:00"/>
    <s v="Aquarius"/>
    <n v="183"/>
    <n v="70.900000000000006"/>
    <s v="Green"/>
    <s v="A−"/>
    <s v="Strands"/>
    <s v="Blond"/>
    <x v="1"/>
    <s v="Rugby"/>
    <s v="white"/>
    <x v="0"/>
    <s v="English"/>
    <s v="UK"/>
    <s v="GB"/>
    <n v="4"/>
    <n v="420"/>
    <n v="1"/>
    <n v="88587"/>
    <m/>
    <m/>
  </r>
  <r>
    <n v="14"/>
    <s v="Hr."/>
    <s v="Helmut"/>
    <s v="Weinhae"/>
    <d v="1959-08-26T00:00:00"/>
    <s v="Virgo"/>
    <n v="156"/>
    <n v="68.3"/>
    <s v="Gray"/>
    <s v="A+"/>
    <s v="Very curly"/>
    <s v="Brown"/>
    <x v="1"/>
    <s v="Canoe Sprint"/>
    <s v="green"/>
    <x v="1"/>
    <s v="German"/>
    <s v="GERMANY"/>
    <s v="DE"/>
    <n v="3"/>
    <n v="9812"/>
    <n v="2"/>
    <n v="89487"/>
    <m/>
    <m/>
  </r>
  <r>
    <n v="15"/>
    <s v="Prof."/>
    <s v="Milena"/>
    <s v="Schotin"/>
    <d v="1965-03-03T00:00:00"/>
    <s v="Pisces"/>
    <n v="156"/>
    <n v="105.3"/>
    <s v="Gray"/>
    <s v="O+"/>
    <s v="Very curly"/>
    <s v="Auburn"/>
    <x v="0"/>
    <s v="Cycling BMX"/>
    <s v="gray"/>
    <x v="0"/>
    <s v="German"/>
    <s v="GERMANY"/>
    <s v="DE"/>
    <n v="1"/>
    <n v="8197"/>
    <n v="4"/>
    <n v="89529"/>
    <m/>
    <m/>
  </r>
  <r>
    <n v="16"/>
    <s v="Hr."/>
    <s v="Lothar"/>
    <s v="Birnbaum"/>
    <d v="1969-07-21T00:00:00"/>
    <s v="Cancer"/>
    <n v="165"/>
    <n v="48.6"/>
    <s v="Blue"/>
    <s v="O+"/>
    <s v="Wavy"/>
    <s v="Brown"/>
    <x v="1"/>
    <s v="Alpine Skiing"/>
    <s v="blue"/>
    <x v="1"/>
    <s v="German"/>
    <s v="GERMANY"/>
    <s v="DE"/>
    <n v="2"/>
    <n v="4275"/>
    <n v="3"/>
    <n v="90687"/>
    <m/>
    <m/>
  </r>
  <r>
    <n v="17"/>
    <s v="Hr."/>
    <s v="Pietro"/>
    <s v="Stolze"/>
    <d v="1972-10-10T00:00:00"/>
    <s v="Libra"/>
    <n v="154"/>
    <n v="105.9"/>
    <s v="Blue"/>
    <s v="A−"/>
    <s v="Wavy"/>
    <s v="Blond"/>
    <x v="0"/>
    <s v="Handball"/>
    <s v="silver"/>
    <x v="1"/>
    <s v="German"/>
    <s v="GERMANY"/>
    <s v="DE"/>
    <n v="7"/>
    <n v="2486"/>
    <n v="3"/>
    <n v="46523"/>
    <m/>
    <m/>
  </r>
  <r>
    <n v="18"/>
    <s v="Hr."/>
    <s v="Richard "/>
    <s v="Tlustek"/>
    <d v="1959-08-31T00:00:00"/>
    <s v="Virgo"/>
    <n v="184"/>
    <n v="71.099999999999994"/>
    <s v="Blue"/>
    <s v="A−"/>
    <s v="Wavy"/>
    <s v="Auburn"/>
    <x v="1"/>
    <s v="Cycling Mountain Bike"/>
    <s v="fuchsia"/>
    <x v="1"/>
    <s v="German"/>
    <s v="GERMANY"/>
    <s v="DE"/>
    <n v="6"/>
    <n v="3146"/>
    <n v="1"/>
    <n v="74990"/>
    <m/>
    <m/>
  </r>
  <r>
    <n v="19"/>
    <s v="Dr."/>
    <s v="Earnestine"/>
    <s v="Raynor"/>
    <d v="1977-05-17T00:00:00"/>
    <s v="Taurus"/>
    <n v="155"/>
    <n v="70.3"/>
    <s v="Blue"/>
    <s v="A+"/>
    <s v="Wavy"/>
    <s v="Blond"/>
    <x v="0"/>
    <s v="Short Track Speed Skating"/>
    <s v="navy"/>
    <x v="0"/>
    <s v="English"/>
    <s v="AUSTRALIA"/>
    <s v="OZ"/>
    <n v="5"/>
    <n v="5549"/>
    <n v="3"/>
    <n v="89400"/>
    <m/>
    <m/>
  </r>
  <r>
    <n v="20"/>
    <s v="Mr."/>
    <s v="Jason"/>
    <s v="Gaylord"/>
    <d v="1976-01-08T00:00:00"/>
    <s v="Capricorn"/>
    <n v="170"/>
    <n v="54.7"/>
    <s v="Brown"/>
    <s v="O−"/>
    <s v="Curly"/>
    <s v="Blond"/>
    <x v="0"/>
    <s v="Basketball"/>
    <s v="purple"/>
    <x v="1"/>
    <s v="English"/>
    <s v="AUSTRALIA"/>
    <s v="OZ"/>
    <n v="4"/>
    <n v="3852"/>
    <n v="5"/>
    <n v="72052"/>
    <m/>
    <m/>
  </r>
  <r>
    <n v="21"/>
    <s v="Mr."/>
    <s v="Kendrick"/>
    <s v="Sauer"/>
    <d v="1996-07-22T00:00:00"/>
    <s v="Cancer"/>
    <n v="161"/>
    <n v="100.9"/>
    <s v="Blue"/>
    <s v="B−"/>
    <s v="Wavy"/>
    <s v="Black"/>
    <x v="1"/>
    <s v="Triathlon"/>
    <s v="olive"/>
    <x v="1"/>
    <s v="English"/>
    <s v="AUSTRALIA"/>
    <s v="OZ"/>
    <n v="5"/>
    <n v="9500"/>
    <n v="4"/>
    <n v="72264"/>
    <m/>
    <m/>
  </r>
  <r>
    <n v="22"/>
    <s v="Dr."/>
    <s v="Annabell"/>
    <s v="Olson"/>
    <d v="1964-04-16T00:00:00"/>
    <s v="Aries"/>
    <n v="193"/>
    <n v="84.3"/>
    <s v="Green"/>
    <s v="A+"/>
    <s v="Strands"/>
    <s v="Black"/>
    <x v="1"/>
    <s v="Equestrian / Dressage"/>
    <s v="blue"/>
    <x v="0"/>
    <s v="English"/>
    <s v="AUSTRALIA"/>
    <s v="OZ"/>
    <n v="1"/>
    <n v="9419"/>
    <n v="4"/>
    <n v="91689"/>
    <m/>
    <m/>
  </r>
  <r>
    <n v="23"/>
    <s v="Dr."/>
    <s v="Jena"/>
    <s v="Upton"/>
    <d v="1955-12-14T00:00:00"/>
    <s v="Sagittarius"/>
    <n v="164"/>
    <n v="66.8"/>
    <s v="Blue"/>
    <s v="O+"/>
    <s v="Wavy"/>
    <s v="Auburn"/>
    <x v="1"/>
    <s v="Beach Volleyball"/>
    <s v="olive"/>
    <x v="0"/>
    <s v="English"/>
    <s v="AUSTRALIA"/>
    <s v="OZ"/>
    <n v="3"/>
    <n v="1173"/>
    <n v="3"/>
    <n v="88569"/>
    <m/>
    <m/>
  </r>
  <r>
    <n v="24"/>
    <s v="Dr."/>
    <s v="Shanny"/>
    <s v="Bins"/>
    <d v="1999-08-28T00:00:00"/>
    <s v="Virgo"/>
    <n v="206"/>
    <n v="59.4"/>
    <s v="Amber"/>
    <s v="B−"/>
    <s v="Straight"/>
    <s v="Blond"/>
    <x v="1"/>
    <s v="Canoe Slalom"/>
    <s v="silver"/>
    <x v="0"/>
    <s v="English"/>
    <s v="AUSTRALIA"/>
    <s v="OZ"/>
    <n v="2"/>
    <n v="5510"/>
    <n v="3"/>
    <n v="69736"/>
    <m/>
    <m/>
  </r>
  <r>
    <n v="25"/>
    <s v="Dr."/>
    <s v="Tia"/>
    <s v="Abshire"/>
    <d v="1966-07-21T00:00:00"/>
    <s v="Cancer"/>
    <n v="203"/>
    <n v="77.8"/>
    <s v="Amber"/>
    <s v="A+"/>
    <s v="Straight"/>
    <s v="Brown"/>
    <x v="1"/>
    <s v="Cycling Road"/>
    <s v="navy"/>
    <x v="0"/>
    <s v="English"/>
    <s v="AUSTRALIA"/>
    <s v="OZ"/>
    <n v="6"/>
    <n v="8604"/>
    <n v="2"/>
    <n v="83198"/>
    <m/>
    <m/>
  </r>
  <r>
    <n v="26"/>
    <s v="Ms."/>
    <s v="Isabel"/>
    <s v="Runolfsdottir"/>
    <d v="1978-03-21T00:00:00"/>
    <s v="Aries"/>
    <n v="201"/>
    <n v="85.9"/>
    <s v="Blue"/>
    <s v="B+"/>
    <s v="Wavy"/>
    <s v="Blond"/>
    <x v="0"/>
    <s v="Cycling Track"/>
    <s v="aqua"/>
    <x v="0"/>
    <s v="English"/>
    <s v="AUSTRALIA"/>
    <s v="OZ"/>
    <n v="7"/>
    <n v="6772"/>
    <n v="4"/>
    <n v="76581"/>
    <m/>
    <m/>
  </r>
  <r>
    <n v="27"/>
    <s v="Hr."/>
    <s v="Barney"/>
    <s v="Wesack"/>
    <d v="1970-07-18T00:00:00"/>
    <s v="Cancer"/>
    <n v="199"/>
    <n v="93.4"/>
    <s v="Amber"/>
    <s v="B+"/>
    <s v="Straight"/>
    <s v="Black"/>
    <x v="0"/>
    <s v="Volleyball"/>
    <s v="white"/>
    <x v="1"/>
    <s v="German"/>
    <s v="AUSTRIA"/>
    <s v="AU"/>
    <n v="4"/>
    <n v="3357"/>
    <n v="1"/>
    <n v="64418"/>
    <m/>
    <m/>
  </r>
  <r>
    <n v="28"/>
    <s v="Hr."/>
    <s v="Baruch"/>
    <s v="Kade"/>
    <d v="1982-03-10T00:00:00"/>
    <s v="Pisces"/>
    <n v="174"/>
    <n v="95.5"/>
    <s v="Gray"/>
    <s v="O−"/>
    <s v="Very curly"/>
    <s v="Chestnut"/>
    <x v="1"/>
    <s v="Rugby"/>
    <s v="teal"/>
    <x v="1"/>
    <s v="German"/>
    <s v="AUSTRIA"/>
    <s v="AU"/>
    <n v="1"/>
    <n v="4920"/>
    <n v="3"/>
    <n v="83146"/>
    <m/>
    <m/>
  </r>
  <r>
    <n v="29"/>
    <s v="Prof."/>
    <s v="Liesbeth"/>
    <s v="Rosemann"/>
    <d v="1994-01-27T00:00:00"/>
    <s v="Aquarius"/>
    <n v="206"/>
    <n v="52.2"/>
    <s v="Blue"/>
    <s v="O+"/>
    <s v="Wavy"/>
    <s v="Blond"/>
    <x v="1"/>
    <s v="Cycling Road"/>
    <s v="green"/>
    <x v="0"/>
    <s v="German"/>
    <s v="AUSTRIA"/>
    <s v="AU"/>
    <n v="1"/>
    <n v="7885"/>
    <n v="3"/>
    <n v="95900"/>
    <m/>
    <m/>
  </r>
  <r>
    <n v="30"/>
    <s v="Mme."/>
    <s v="Valentine"/>
    <s v="Moreau"/>
    <d v="1979-10-09T00:00:00"/>
    <s v="Libra"/>
    <n v="147"/>
    <n v="74.599999999999994"/>
    <s v="Blue"/>
    <s v="B+"/>
    <s v="Wavy"/>
    <s v="Brown"/>
    <x v="1"/>
    <s v="Golf"/>
    <s v="maroon"/>
    <x v="0"/>
    <s v="French"/>
    <s v="FRANCE"/>
    <s v="FR"/>
    <n v="2"/>
    <n v="3586"/>
    <n v="4"/>
    <n v="70324"/>
    <m/>
    <m/>
  </r>
  <r>
    <n v="31"/>
    <s v="Mme."/>
    <s v="Paulette"/>
    <s v="Durand"/>
    <d v="1989-12-25T00:00:00"/>
    <s v="Capricorn"/>
    <n v="180"/>
    <n v="81.7"/>
    <s v="Amber"/>
    <s v="O−"/>
    <s v="Straight"/>
    <s v="Chestnut"/>
    <x v="0"/>
    <s v="Volleyball"/>
    <s v="aqua"/>
    <x v="0"/>
    <s v="French"/>
    <s v="FRANCE"/>
    <s v="FR"/>
    <n v="6"/>
    <n v="1602"/>
    <n v="2"/>
    <n v="37617"/>
    <m/>
    <m/>
  </r>
  <r>
    <n v="32"/>
    <s v="Mme."/>
    <s v="Laure-Alix"/>
    <s v="Chevalier"/>
    <d v="1970-12-23T00:00:00"/>
    <s v="Capricorn"/>
    <n v="181"/>
    <n v="78.099999999999994"/>
    <s v="Blue"/>
    <s v="O+"/>
    <s v="Wavy"/>
    <s v="Brown"/>
    <x v="1"/>
    <s v="Beach Volleyball"/>
    <s v="yellow"/>
    <x v="0"/>
    <s v="French"/>
    <s v="FRANCE"/>
    <s v="FR"/>
    <n v="5"/>
    <n v="8713"/>
    <n v="3"/>
    <n v="82674"/>
    <m/>
    <m/>
  </r>
  <r>
    <n v="33"/>
    <s v="M."/>
    <s v="Claude"/>
    <s v="Toussaint"/>
    <d v="1980-11-04T00:00:00"/>
    <s v="Scorpio"/>
    <n v="149"/>
    <n v="57.1"/>
    <s v="Green"/>
    <s v="O+"/>
    <s v="Strands"/>
    <s v="Blond"/>
    <x v="0"/>
    <s v="Diving"/>
    <s v="gray"/>
    <x v="1"/>
    <s v="French"/>
    <s v="FRANCE"/>
    <s v="FR"/>
    <n v="3"/>
    <n v="5889"/>
    <n v="2"/>
    <n v="49626"/>
    <m/>
    <m/>
  </r>
  <r>
    <n v="34"/>
    <s v="M."/>
    <s v="Victor"/>
    <s v="Lenoir"/>
    <d v="1981-10-16T00:00:00"/>
    <s v="Libra"/>
    <n v="146"/>
    <n v="56"/>
    <s v="Blue"/>
    <s v="B+"/>
    <s v="Wavy"/>
    <s v="Brown"/>
    <x v="1"/>
    <s v="Triathlon"/>
    <s v="fuchsia"/>
    <x v="1"/>
    <s v="French"/>
    <s v="FRANCE"/>
    <s v="FR"/>
    <n v="4"/>
    <n v="3050"/>
    <n v="3"/>
    <n v="50750"/>
    <m/>
    <m/>
  </r>
  <r>
    <n v="35"/>
    <s v="M."/>
    <s v="Arthur"/>
    <s v="Lenoir"/>
    <d v="1955-07-30T00:00:00"/>
    <s v="Leo"/>
    <n v="189"/>
    <n v="88.6"/>
    <s v="Amber"/>
    <s v="O+"/>
    <s v="Straight"/>
    <s v="Brown"/>
    <x v="1"/>
    <s v="Hockey"/>
    <s v="aqua"/>
    <x v="1"/>
    <s v="French"/>
    <s v="FRANCE"/>
    <s v="FR"/>
    <n v="1"/>
    <n v="3498"/>
    <n v="3"/>
    <n v="57255"/>
    <m/>
    <m/>
  </r>
  <r>
    <n v="36"/>
    <s v="M."/>
    <s v="Benjamin"/>
    <s v="Lebrun-Brun"/>
    <d v="1975-02-03T00:00:00"/>
    <s v="Aquarius"/>
    <n v="155"/>
    <n v="78.2"/>
    <s v="Brown"/>
    <s v="O−"/>
    <s v="Curly"/>
    <s v="Auburn"/>
    <x v="1"/>
    <s v="Triathlon"/>
    <s v="black"/>
    <x v="1"/>
    <s v="French"/>
    <s v="FRANCE"/>
    <s v="FR"/>
    <n v="4"/>
    <n v="7913"/>
    <n v="5"/>
    <n v="70172"/>
    <m/>
    <m/>
  </r>
  <r>
    <n v="37"/>
    <s v="M."/>
    <s v="Antoine"/>
    <s v="Maillard"/>
    <d v="1986-06-22T00:00:00"/>
    <s v="Cancer"/>
    <n v="197"/>
    <n v="95.8"/>
    <s v="Blue"/>
    <s v="B−"/>
    <s v="Wavy"/>
    <s v="Brown"/>
    <x v="1"/>
    <s v="Sailing"/>
    <s v="olive"/>
    <x v="1"/>
    <s v="French"/>
    <s v="FRANCE"/>
    <s v="FR"/>
    <n v="3"/>
    <n v="6148"/>
    <n v="1"/>
    <n v="55006"/>
    <m/>
    <m/>
  </r>
  <r>
    <n v="38"/>
    <s v="M."/>
    <s v="Bernard"/>
    <s v="Hoarau-Guyon"/>
    <d v="1983-01-11T00:00:00"/>
    <s v="Capricorn"/>
    <n v="179"/>
    <n v="59.7"/>
    <s v="Gray"/>
    <s v="O−"/>
    <s v="Very curly"/>
    <s v="Blond"/>
    <x v="0"/>
    <s v="Cycling Track"/>
    <s v="navy"/>
    <x v="1"/>
    <s v="French"/>
    <s v="FRANCE"/>
    <s v="FR"/>
    <n v="2"/>
    <n v="4840"/>
    <n v="1"/>
    <n v="99140"/>
    <m/>
    <m/>
  </r>
  <r>
    <n v="39"/>
    <s v="Sr."/>
    <s v="Hidalgo"/>
    <s v="Tercero"/>
    <d v="1984-11-30T00:00:00"/>
    <s v="Sagittarius"/>
    <n v="196"/>
    <n v="77.7"/>
    <s v="Gray"/>
    <s v="B−"/>
    <s v="Very curly"/>
    <s v="Black"/>
    <x v="1"/>
    <s v="Canoe Slalom"/>
    <s v="lime"/>
    <x v="1"/>
    <s v="Spanish"/>
    <s v="ARGENTINA"/>
    <s v="AG"/>
    <n v="4"/>
    <n v="2563"/>
    <n v="3"/>
    <n v="79454"/>
    <m/>
    <m/>
  </r>
  <r>
    <n v="40"/>
    <s v="Sr."/>
    <s v="Hadalgo"/>
    <s v="Polanco"/>
    <d v="1988-06-20T00:00:00"/>
    <s v="Gemini"/>
    <n v="159"/>
    <n v="98"/>
    <s v="Blue"/>
    <s v="A−"/>
    <s v="Wavy"/>
    <s v="Black"/>
    <x v="1"/>
    <s v="Beach Volleyball"/>
    <s v="olive"/>
    <x v="1"/>
    <s v="Spanish"/>
    <s v="ARGENTINA"/>
    <s v="AG"/>
    <n v="6"/>
    <n v="272"/>
    <n v="1"/>
    <n v="94214"/>
    <m/>
    <m/>
  </r>
  <r>
    <n v="41"/>
    <s v="Sra."/>
    <s v="Laura"/>
    <s v="Oliviera"/>
    <d v="1974-02-16T00:00:00"/>
    <s v="Aquarius"/>
    <n v="154"/>
    <n v="51.9"/>
    <s v="Amber"/>
    <s v="O−"/>
    <s v="Straight"/>
    <s v="Auburn"/>
    <x v="1"/>
    <s v="Athletics"/>
    <s v="navy"/>
    <x v="0"/>
    <s v="Spanish"/>
    <s v="ARGENTINA"/>
    <s v="AG"/>
    <n v="7"/>
    <n v="4314"/>
    <n v="2"/>
    <n v="42651"/>
    <m/>
    <m/>
  </r>
  <r>
    <n v="42"/>
    <s v="Sra."/>
    <s v="Ainhoa"/>
    <s v="Garza"/>
    <d v="1990-03-09T00:00:00"/>
    <s v="Pisces"/>
    <n v="185"/>
    <n v="55.6"/>
    <s v="Brown"/>
    <s v="O+"/>
    <s v="Curly"/>
    <s v="Blond"/>
    <x v="0"/>
    <s v="Gymnastics Artistic"/>
    <s v="blue"/>
    <x v="0"/>
    <s v="Spanish"/>
    <s v="SPAIN"/>
    <s v="ES"/>
    <n v="3"/>
    <n v="6336"/>
    <n v="5"/>
    <n v="86414"/>
    <m/>
    <m/>
  </r>
  <r>
    <n v="43"/>
    <s v="Sra."/>
    <s v="Isabel"/>
    <s v="Banda"/>
    <d v="1960-01-12T00:00:00"/>
    <s v="Capricorn"/>
    <n v="178"/>
    <n v="102.3"/>
    <s v="Amber"/>
    <s v="O+"/>
    <s v="Straight"/>
    <s v="Brown"/>
    <x v="1"/>
    <s v="Canoe Slalom"/>
    <s v="gray"/>
    <x v="0"/>
    <s v="Spanish"/>
    <s v="SPAIN"/>
    <s v="ES"/>
    <n v="3"/>
    <n v="7093"/>
    <n v="2"/>
    <n v="93336"/>
    <m/>
    <m/>
  </r>
  <r>
    <n v="44"/>
    <s v="Sra."/>
    <s v="Carolota"/>
    <s v="Mateos"/>
    <d v="1965-07-29T00:00:00"/>
    <s v="Leo"/>
    <n v="187"/>
    <n v="58.8"/>
    <s v="Gray"/>
    <s v="O−"/>
    <s v="Very curly"/>
    <s v="Brown"/>
    <x v="1"/>
    <s v="Athletics"/>
    <s v="purple"/>
    <x v="0"/>
    <s v="Spanish"/>
    <s v="SPAIN"/>
    <s v="ES"/>
    <n v="7"/>
    <n v="994"/>
    <n v="1"/>
    <n v="41511"/>
    <m/>
    <m/>
  </r>
  <r>
    <n v="45"/>
    <s v="Mw."/>
    <s v="Elize"/>
    <s v="Prins"/>
    <d v="1960-05-08T00:00:00"/>
    <s v="Taurus"/>
    <n v="160"/>
    <n v="63.8"/>
    <s v="Blue"/>
    <s v="O+"/>
    <s v="Wavy"/>
    <s v="Brown"/>
    <x v="0"/>
    <s v="Judo"/>
    <s v="donkergroen"/>
    <x v="0"/>
    <s v="Dutch"/>
    <s v="NETHERLANDS"/>
    <s v="DU"/>
    <n v="4"/>
    <n v="1869"/>
    <n v="2"/>
    <n v="50482"/>
    <m/>
    <m/>
  </r>
  <r>
    <n v="46"/>
    <s v="dhr."/>
    <s v="Ryan"/>
    <s v="Pham"/>
    <d v="1973-10-03T00:00:00"/>
    <s v="Libra"/>
    <n v="172"/>
    <n v="98.6"/>
    <s v="Amber"/>
    <s v="B+"/>
    <s v="Straight"/>
    <s v="Auburn"/>
    <x v="1"/>
    <s v="Beach Volleyball"/>
    <s v="groenblauw"/>
    <x v="1"/>
    <s v="Dutch"/>
    <s v="NETHERLANDS"/>
    <s v="DU"/>
    <n v="5"/>
    <n v="1053"/>
    <n v="4"/>
    <n v="57409"/>
    <m/>
    <m/>
  </r>
  <r>
    <n v="47"/>
    <s v="Mw"/>
    <s v="Elise"/>
    <s v="Rotteveel"/>
    <d v="1968-04-08T00:00:00"/>
    <s v="Aries"/>
    <n v="184"/>
    <n v="61.8"/>
    <s v="Gray"/>
    <s v="O−"/>
    <s v="Very curly"/>
    <s v="Brown"/>
    <x v="1"/>
    <s v="Beach Volleyball"/>
    <s v="zwart"/>
    <x v="0"/>
    <s v="Dutch"/>
    <s v="NETHERLANDS"/>
    <s v="DU"/>
    <n v="6"/>
    <n v="1636"/>
    <n v="5"/>
    <n v="41140"/>
    <m/>
    <m/>
  </r>
  <r>
    <n v="48"/>
    <s v="Fru."/>
    <s v="Mirjam"/>
    <s v="Soderberg"/>
    <d v="1997-05-17T00:00:00"/>
    <s v="Taurus"/>
    <n v="158"/>
    <n v="50"/>
    <s v="Amber"/>
    <s v="O+"/>
    <s v="Straight"/>
    <s v="Brown"/>
    <x v="1"/>
    <s v="Football"/>
    <s v="purple"/>
    <x v="0"/>
    <s v="Swedish"/>
    <s v="SWEDEN"/>
    <s v="SV"/>
    <n v="1"/>
    <n v="2420"/>
    <n v="2"/>
    <n v="96003"/>
    <m/>
    <m/>
  </r>
  <r>
    <n v="49"/>
    <s v="H."/>
    <s v="Berndt"/>
    <s v="Palsson"/>
    <d v="1987-02-24T00:00:00"/>
    <s v="Pisces"/>
    <n v="200"/>
    <n v="45.9"/>
    <s v="Blue"/>
    <s v="A−"/>
    <s v="Wavy"/>
    <s v="Brown"/>
    <x v="1"/>
    <s v="Biathlon"/>
    <s v="blue"/>
    <x v="1"/>
    <s v="Swedish"/>
    <s v="SWEDEN"/>
    <s v="SV"/>
    <n v="7"/>
    <n v="1954"/>
    <n v="1"/>
    <n v="54366"/>
    <m/>
    <m/>
  </r>
  <r>
    <n v="50"/>
    <s v="Sr."/>
    <s v="Adriano"/>
    <s v="Sobrinho"/>
    <d v="1993-07-28T00:00:00"/>
    <s v="Leo"/>
    <n v="203"/>
    <n v="92.5"/>
    <s v="Green"/>
    <s v="A+"/>
    <s v="Strands"/>
    <s v="Blond"/>
    <x v="0"/>
    <s v="Swimming"/>
    <s v="maroon"/>
    <x v="1"/>
    <s v="Portuguese"/>
    <s v="BRAZIL"/>
    <s v="PR"/>
    <n v="6"/>
    <n v="4413"/>
    <n v="3"/>
    <n v="86641"/>
    <m/>
    <m/>
  </r>
  <r>
    <m/>
    <m/>
    <m/>
    <m/>
    <m/>
    <m/>
    <m/>
    <m/>
    <m/>
    <m/>
    <m/>
    <m/>
    <x v="2"/>
    <m/>
    <m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2EF52-0CE2-4533-AC75-2C6F9A9B9B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2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Count of SPORTS LOCATIO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046A-C89D-4120-BB42-007DB87307D1}">
  <dimension ref="A1:C8"/>
  <sheetViews>
    <sheetView workbookViewId="0">
      <selection activeCell="G8" sqref="G8"/>
    </sheetView>
  </sheetViews>
  <sheetFormatPr defaultRowHeight="14.4" x14ac:dyDescent="0.3"/>
  <sheetData>
    <row r="1" spans="1:3" ht="15.6" x14ac:dyDescent="0.3">
      <c r="A1">
        <v>1</v>
      </c>
      <c r="B1" s="11" t="s">
        <v>253</v>
      </c>
    </row>
    <row r="3" spans="1:3" ht="15.6" x14ac:dyDescent="0.3">
      <c r="A3">
        <v>2</v>
      </c>
      <c r="B3" s="11" t="s">
        <v>254</v>
      </c>
    </row>
    <row r="5" spans="1:3" x14ac:dyDescent="0.3">
      <c r="A5">
        <v>3</v>
      </c>
      <c r="B5" t="s">
        <v>255</v>
      </c>
    </row>
    <row r="7" spans="1:3" x14ac:dyDescent="0.3">
      <c r="A7">
        <v>4</v>
      </c>
      <c r="B7" t="s">
        <v>260</v>
      </c>
    </row>
    <row r="8" spans="1:3" x14ac:dyDescent="0.3">
      <c r="C8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46D8-4B7E-42D5-A2B1-A0E69CB0CEB5}">
  <dimension ref="A3:B12"/>
  <sheetViews>
    <sheetView workbookViewId="0">
      <selection activeCell="B29" sqref="B29"/>
    </sheetView>
  </sheetViews>
  <sheetFormatPr defaultRowHeight="14.4" x14ac:dyDescent="0.3"/>
  <cols>
    <col min="1" max="1" width="13.21875" bestFit="1" customWidth="1"/>
    <col min="2" max="2" width="25.6640625" bestFit="1" customWidth="1"/>
  </cols>
  <sheetData>
    <row r="3" spans="1:2" x14ac:dyDescent="0.3">
      <c r="A3" s="13" t="s">
        <v>261</v>
      </c>
      <c r="B3" t="s">
        <v>264</v>
      </c>
    </row>
    <row r="4" spans="1:2" x14ac:dyDescent="0.3">
      <c r="A4" s="5" t="s">
        <v>30</v>
      </c>
      <c r="B4">
        <v>25</v>
      </c>
    </row>
    <row r="5" spans="1:2" x14ac:dyDescent="0.3">
      <c r="A5" s="14" t="s">
        <v>27</v>
      </c>
      <c r="B5">
        <v>9</v>
      </c>
    </row>
    <row r="6" spans="1:2" x14ac:dyDescent="0.3">
      <c r="A6" s="14" t="s">
        <v>49</v>
      </c>
      <c r="B6">
        <v>16</v>
      </c>
    </row>
    <row r="7" spans="1:2" x14ac:dyDescent="0.3">
      <c r="A7" s="5" t="s">
        <v>52</v>
      </c>
      <c r="B7">
        <v>25</v>
      </c>
    </row>
    <row r="8" spans="1:2" x14ac:dyDescent="0.3">
      <c r="A8" s="14" t="s">
        <v>27</v>
      </c>
      <c r="B8">
        <v>9</v>
      </c>
    </row>
    <row r="9" spans="1:2" x14ac:dyDescent="0.3">
      <c r="A9" s="14" t="s">
        <v>49</v>
      </c>
      <c r="B9">
        <v>16</v>
      </c>
    </row>
    <row r="10" spans="1:2" x14ac:dyDescent="0.3">
      <c r="A10" s="5" t="s">
        <v>262</v>
      </c>
    </row>
    <row r="11" spans="1:2" x14ac:dyDescent="0.3">
      <c r="A11" s="14" t="s">
        <v>262</v>
      </c>
    </row>
    <row r="12" spans="1:2" x14ac:dyDescent="0.3">
      <c r="A12" s="5" t="s">
        <v>263</v>
      </c>
      <c r="B1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5FE9-D362-4E64-B554-5604DC43B894}">
  <sheetPr filterMode="1"/>
  <dimension ref="A1:Y102"/>
  <sheetViews>
    <sheetView workbookViewId="0">
      <selection sqref="A1:Y114"/>
    </sheetView>
  </sheetViews>
  <sheetFormatPr defaultRowHeight="14.4" outlineLevelRow="2" x14ac:dyDescent="0.3"/>
  <cols>
    <col min="5" max="5" width="10.44140625" bestFit="1" customWidth="1"/>
    <col min="21" max="21" width="15.21875" bestFit="1" customWidth="1"/>
    <col min="23" max="23" width="10.5546875" bestFit="1" customWidth="1"/>
  </cols>
  <sheetData>
    <row r="1" spans="1:25" ht="119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252</v>
      </c>
      <c r="U1" s="4" t="s">
        <v>256</v>
      </c>
      <c r="V1" s="4" t="s">
        <v>257</v>
      </c>
      <c r="W1" s="4" t="s">
        <v>258</v>
      </c>
      <c r="X1" s="10" t="s">
        <v>249</v>
      </c>
      <c r="Y1" s="10" t="s">
        <v>250</v>
      </c>
    </row>
    <row r="2" spans="1:25" outlineLevel="2" x14ac:dyDescent="0.3">
      <c r="A2">
        <v>1</v>
      </c>
      <c r="B2" s="5" t="s">
        <v>19</v>
      </c>
      <c r="C2" s="5" t="s">
        <v>20</v>
      </c>
      <c r="D2" s="5" t="s">
        <v>21</v>
      </c>
      <c r="E2" s="6">
        <v>35699</v>
      </c>
      <c r="F2" s="5" t="s">
        <v>22</v>
      </c>
      <c r="G2" s="7">
        <v>205</v>
      </c>
      <c r="H2" s="8">
        <v>94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t="s">
        <v>31</v>
      </c>
      <c r="R2" s="7" t="s">
        <v>32</v>
      </c>
      <c r="S2" s="9" t="s">
        <v>33</v>
      </c>
      <c r="T2" s="9">
        <v>3</v>
      </c>
      <c r="U2" s="12">
        <v>1264</v>
      </c>
      <c r="V2">
        <v>2</v>
      </c>
      <c r="W2" s="12">
        <v>41680</v>
      </c>
      <c r="X2">
        <f>SUMIF($P$2:$P$103,"Female",$U$2:$U$103)</f>
        <v>108816</v>
      </c>
    </row>
    <row r="3" spans="1:25" hidden="1" outlineLevel="1" x14ac:dyDescent="0.3">
      <c r="B3" s="5"/>
      <c r="C3" s="15" t="s">
        <v>265</v>
      </c>
      <c r="D3" s="5"/>
      <c r="E3" s="6"/>
      <c r="F3" s="5"/>
      <c r="G3" s="7"/>
      <c r="H3" s="8"/>
      <c r="I3" s="5"/>
      <c r="J3" s="5"/>
      <c r="K3" s="5"/>
      <c r="L3" s="5"/>
      <c r="M3" s="5"/>
      <c r="N3" s="5"/>
      <c r="O3" s="5"/>
      <c r="P3" s="5"/>
      <c r="R3" s="7"/>
      <c r="S3" s="9"/>
      <c r="T3" s="9"/>
      <c r="U3" s="12">
        <f>SUBTOTAL(1,U2:U2)</f>
        <v>1264</v>
      </c>
      <c r="V3">
        <f>SUBTOTAL(1,V2:V2)</f>
        <v>2</v>
      </c>
      <c r="W3" s="12"/>
    </row>
    <row r="4" spans="1:25" outlineLevel="2" x14ac:dyDescent="0.3">
      <c r="A4">
        <v>2</v>
      </c>
      <c r="B4" s="7" t="s">
        <v>19</v>
      </c>
      <c r="C4" s="7" t="s">
        <v>34</v>
      </c>
      <c r="D4" s="7" t="s">
        <v>35</v>
      </c>
      <c r="E4" s="6">
        <v>33641</v>
      </c>
      <c r="F4" s="7" t="s">
        <v>36</v>
      </c>
      <c r="G4" s="7">
        <v>205</v>
      </c>
      <c r="H4" s="8">
        <v>84.2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27</v>
      </c>
      <c r="N4" s="7" t="s">
        <v>41</v>
      </c>
      <c r="O4" s="7" t="s">
        <v>42</v>
      </c>
      <c r="P4" s="7" t="s">
        <v>30</v>
      </c>
      <c r="Q4" s="7" t="s">
        <v>31</v>
      </c>
      <c r="R4" s="7" t="s">
        <v>32</v>
      </c>
      <c r="S4" s="9" t="s">
        <v>33</v>
      </c>
      <c r="T4" s="9">
        <v>4</v>
      </c>
      <c r="U4" s="12">
        <v>4948</v>
      </c>
      <c r="V4">
        <v>3</v>
      </c>
      <c r="W4" s="12">
        <v>32371</v>
      </c>
      <c r="X4">
        <f>SUMIF($P$2:$P$103,"male",$U$2:$U$103)</f>
        <v>109687</v>
      </c>
    </row>
    <row r="5" spans="1:25" hidden="1" outlineLevel="1" x14ac:dyDescent="0.3">
      <c r="B5" s="7"/>
      <c r="C5" s="16" t="s">
        <v>266</v>
      </c>
      <c r="D5" s="7"/>
      <c r="E5" s="6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12">
        <f>SUBTOTAL(1,U4:U4)</f>
        <v>4948</v>
      </c>
      <c r="V5">
        <f>SUBTOTAL(1,V4:V4)</f>
        <v>3</v>
      </c>
      <c r="W5" s="12"/>
    </row>
    <row r="6" spans="1:25" outlineLevel="2" x14ac:dyDescent="0.3">
      <c r="A6">
        <v>3</v>
      </c>
      <c r="B6" s="7" t="s">
        <v>43</v>
      </c>
      <c r="C6" s="7" t="s">
        <v>44</v>
      </c>
      <c r="D6" s="7" t="s">
        <v>45</v>
      </c>
      <c r="E6" s="6">
        <v>25394</v>
      </c>
      <c r="F6" s="7" t="s">
        <v>46</v>
      </c>
      <c r="G6" s="7">
        <v>185</v>
      </c>
      <c r="H6" s="8">
        <v>52.9</v>
      </c>
      <c r="I6" s="7" t="s">
        <v>47</v>
      </c>
      <c r="J6" s="7" t="s">
        <v>24</v>
      </c>
      <c r="K6" s="7" t="s">
        <v>48</v>
      </c>
      <c r="L6" s="7" t="s">
        <v>40</v>
      </c>
      <c r="M6" s="7" t="s">
        <v>49</v>
      </c>
      <c r="N6" s="7" t="s">
        <v>50</v>
      </c>
      <c r="O6" s="7" t="s">
        <v>51</v>
      </c>
      <c r="P6" s="7" t="s">
        <v>52</v>
      </c>
      <c r="Q6" s="7" t="s">
        <v>53</v>
      </c>
      <c r="R6" s="7" t="s">
        <v>54</v>
      </c>
      <c r="S6" s="9" t="s">
        <v>55</v>
      </c>
      <c r="T6" s="9">
        <v>6</v>
      </c>
      <c r="U6" s="12">
        <v>8774</v>
      </c>
      <c r="V6">
        <v>4</v>
      </c>
      <c r="W6" s="12">
        <v>99445</v>
      </c>
    </row>
    <row r="7" spans="1:25" hidden="1" outlineLevel="1" x14ac:dyDescent="0.3">
      <c r="B7" s="7"/>
      <c r="C7" s="16" t="s">
        <v>267</v>
      </c>
      <c r="D7" s="7"/>
      <c r="E7" s="6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12">
        <f>SUBTOTAL(1,U6:U6)</f>
        <v>8774</v>
      </c>
      <c r="V7">
        <f>SUBTOTAL(1,V6:V6)</f>
        <v>4</v>
      </c>
      <c r="W7" s="12"/>
    </row>
    <row r="8" spans="1:25" outlineLevel="2" x14ac:dyDescent="0.3">
      <c r="A8">
        <v>4</v>
      </c>
      <c r="B8" s="7" t="s">
        <v>19</v>
      </c>
      <c r="C8" s="7" t="s">
        <v>56</v>
      </c>
      <c r="D8" s="7" t="s">
        <v>57</v>
      </c>
      <c r="E8" s="6">
        <v>27532</v>
      </c>
      <c r="F8" s="7" t="s">
        <v>58</v>
      </c>
      <c r="G8" s="7">
        <v>175</v>
      </c>
      <c r="H8" s="8">
        <v>48.9</v>
      </c>
      <c r="I8" s="7" t="s">
        <v>23</v>
      </c>
      <c r="J8" s="7" t="s">
        <v>38</v>
      </c>
      <c r="K8" s="7" t="s">
        <v>25</v>
      </c>
      <c r="L8" s="7" t="s">
        <v>26</v>
      </c>
      <c r="M8" s="7" t="s">
        <v>49</v>
      </c>
      <c r="N8" s="7" t="s">
        <v>59</v>
      </c>
      <c r="O8" s="7" t="s">
        <v>60</v>
      </c>
      <c r="P8" s="7" t="s">
        <v>30</v>
      </c>
      <c r="Q8" s="7" t="s">
        <v>31</v>
      </c>
      <c r="R8" s="7" t="s">
        <v>32</v>
      </c>
      <c r="S8" s="9" t="s">
        <v>33</v>
      </c>
      <c r="T8" s="9">
        <v>5</v>
      </c>
      <c r="U8" s="12">
        <v>5915</v>
      </c>
      <c r="V8">
        <v>3</v>
      </c>
      <c r="W8" s="12">
        <v>64995</v>
      </c>
    </row>
    <row r="9" spans="1:25" hidden="1" outlineLevel="1" x14ac:dyDescent="0.3">
      <c r="B9" s="7"/>
      <c r="C9" s="16" t="s">
        <v>268</v>
      </c>
      <c r="D9" s="7"/>
      <c r="E9" s="6"/>
      <c r="F9" s="7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12">
        <f>SUBTOTAL(1,U8:U8)</f>
        <v>5915</v>
      </c>
      <c r="V9">
        <f>SUBTOTAL(1,V8:V8)</f>
        <v>3</v>
      </c>
      <c r="W9" s="12"/>
    </row>
    <row r="10" spans="1:25" outlineLevel="2" x14ac:dyDescent="0.3">
      <c r="A10">
        <v>5</v>
      </c>
      <c r="B10" s="7" t="s">
        <v>61</v>
      </c>
      <c r="C10" s="7" t="s">
        <v>62</v>
      </c>
      <c r="D10" s="7" t="s">
        <v>63</v>
      </c>
      <c r="E10" s="6">
        <v>25706</v>
      </c>
      <c r="F10" s="7" t="s">
        <v>58</v>
      </c>
      <c r="G10" s="7">
        <v>168</v>
      </c>
      <c r="H10" s="8">
        <v>84.8</v>
      </c>
      <c r="I10" s="7" t="s">
        <v>64</v>
      </c>
      <c r="J10" s="7" t="s">
        <v>65</v>
      </c>
      <c r="K10" s="7" t="s">
        <v>66</v>
      </c>
      <c r="L10" s="7" t="s">
        <v>37</v>
      </c>
      <c r="M10" s="7" t="s">
        <v>27</v>
      </c>
      <c r="N10" s="7" t="s">
        <v>67</v>
      </c>
      <c r="O10" s="7" t="s">
        <v>68</v>
      </c>
      <c r="P10" s="7" t="s">
        <v>52</v>
      </c>
      <c r="Q10" s="7" t="s">
        <v>31</v>
      </c>
      <c r="R10" s="7" t="s">
        <v>32</v>
      </c>
      <c r="S10" s="9" t="s">
        <v>33</v>
      </c>
      <c r="T10" s="9">
        <v>4</v>
      </c>
      <c r="U10" s="12">
        <v>3566</v>
      </c>
      <c r="V10">
        <v>2</v>
      </c>
      <c r="W10" s="12">
        <v>33868</v>
      </c>
    </row>
    <row r="11" spans="1:25" hidden="1" outlineLevel="1" x14ac:dyDescent="0.3">
      <c r="B11" s="7"/>
      <c r="C11" s="16" t="s">
        <v>269</v>
      </c>
      <c r="D11" s="7"/>
      <c r="E11" s="6"/>
      <c r="F11" s="7"/>
      <c r="G11" s="7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12">
        <f>SUBTOTAL(1,U10:U10)</f>
        <v>3566</v>
      </c>
      <c r="V11">
        <f>SUBTOTAL(1,V10:V10)</f>
        <v>2</v>
      </c>
      <c r="W11" s="12"/>
    </row>
    <row r="12" spans="1:25" outlineLevel="2" x14ac:dyDescent="0.3">
      <c r="A12">
        <v>6</v>
      </c>
      <c r="B12" s="7" t="s">
        <v>69</v>
      </c>
      <c r="C12" s="7" t="s">
        <v>70</v>
      </c>
      <c r="D12" s="7" t="s">
        <v>71</v>
      </c>
      <c r="E12" s="6">
        <v>33944</v>
      </c>
      <c r="F12" s="7" t="s">
        <v>72</v>
      </c>
      <c r="G12" s="7">
        <v>201</v>
      </c>
      <c r="H12" s="8">
        <v>83.2</v>
      </c>
      <c r="I12" s="7" t="s">
        <v>64</v>
      </c>
      <c r="J12" s="7" t="s">
        <v>38</v>
      </c>
      <c r="K12" s="7" t="s">
        <v>66</v>
      </c>
      <c r="L12" s="7" t="s">
        <v>26</v>
      </c>
      <c r="M12" s="7" t="s">
        <v>27</v>
      </c>
      <c r="N12" s="7" t="s">
        <v>73</v>
      </c>
      <c r="O12" s="7" t="s">
        <v>51</v>
      </c>
      <c r="P12" s="7" t="s">
        <v>52</v>
      </c>
      <c r="Q12" s="7" t="s">
        <v>31</v>
      </c>
      <c r="R12" s="7" t="s">
        <v>32</v>
      </c>
      <c r="S12" s="9" t="s">
        <v>33</v>
      </c>
      <c r="T12" s="9">
        <v>1</v>
      </c>
      <c r="U12" s="12">
        <v>2307</v>
      </c>
      <c r="V12">
        <v>5</v>
      </c>
      <c r="W12" s="12">
        <v>69315</v>
      </c>
    </row>
    <row r="13" spans="1:25" hidden="1" outlineLevel="1" x14ac:dyDescent="0.3">
      <c r="B13" s="7"/>
      <c r="C13" s="16" t="s">
        <v>270</v>
      </c>
      <c r="D13" s="7"/>
      <c r="E13" s="6"/>
      <c r="F13" s="7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9"/>
      <c r="T13" s="9"/>
      <c r="U13" s="12">
        <f>SUBTOTAL(1,U12:U12)</f>
        <v>2307</v>
      </c>
      <c r="V13">
        <f>SUBTOTAL(1,V12:V12)</f>
        <v>5</v>
      </c>
      <c r="W13" s="12"/>
    </row>
    <row r="14" spans="1:25" outlineLevel="2" x14ac:dyDescent="0.3">
      <c r="A14">
        <v>7</v>
      </c>
      <c r="B14" s="7" t="s">
        <v>19</v>
      </c>
      <c r="C14" s="7" t="s">
        <v>74</v>
      </c>
      <c r="D14" s="7" t="s">
        <v>75</v>
      </c>
      <c r="E14" s="6">
        <v>36370</v>
      </c>
      <c r="F14" s="7" t="s">
        <v>76</v>
      </c>
      <c r="G14" s="7">
        <v>164</v>
      </c>
      <c r="H14" s="8">
        <v>61.1</v>
      </c>
      <c r="I14" s="7" t="s">
        <v>64</v>
      </c>
      <c r="J14" s="7" t="s">
        <v>65</v>
      </c>
      <c r="K14" s="7" t="s">
        <v>66</v>
      </c>
      <c r="L14" s="7" t="s">
        <v>37</v>
      </c>
      <c r="M14" s="7" t="s">
        <v>49</v>
      </c>
      <c r="N14" s="7" t="s">
        <v>77</v>
      </c>
      <c r="O14" s="7" t="s">
        <v>78</v>
      </c>
      <c r="P14" s="7" t="s">
        <v>30</v>
      </c>
      <c r="Q14" s="7" t="s">
        <v>31</v>
      </c>
      <c r="R14" s="7" t="s">
        <v>32</v>
      </c>
      <c r="S14" s="9" t="s">
        <v>33</v>
      </c>
      <c r="T14" s="9">
        <v>1</v>
      </c>
      <c r="U14" s="12">
        <v>2665</v>
      </c>
      <c r="V14">
        <v>4</v>
      </c>
      <c r="W14" s="12">
        <v>96100</v>
      </c>
    </row>
    <row r="15" spans="1:25" hidden="1" outlineLevel="1" x14ac:dyDescent="0.3">
      <c r="B15" s="7"/>
      <c r="C15" s="16" t="s">
        <v>271</v>
      </c>
      <c r="D15" s="7"/>
      <c r="E15" s="6"/>
      <c r="F15" s="7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9"/>
      <c r="T15" s="9"/>
      <c r="U15" s="12">
        <f>SUBTOTAL(1,U14:U14)</f>
        <v>2665</v>
      </c>
      <c r="V15">
        <f>SUBTOTAL(1,V14:V14)</f>
        <v>4</v>
      </c>
      <c r="W15" s="12"/>
    </row>
    <row r="16" spans="1:25" outlineLevel="2" x14ac:dyDescent="0.3">
      <c r="A16">
        <v>8</v>
      </c>
      <c r="B16" s="7" t="s">
        <v>69</v>
      </c>
      <c r="C16" s="7" t="s">
        <v>79</v>
      </c>
      <c r="D16" s="7" t="s">
        <v>80</v>
      </c>
      <c r="E16" s="6">
        <v>23141</v>
      </c>
      <c r="F16" s="7" t="s">
        <v>58</v>
      </c>
      <c r="G16" s="7">
        <v>191</v>
      </c>
      <c r="H16" s="8">
        <v>105.7</v>
      </c>
      <c r="I16" s="7" t="s">
        <v>47</v>
      </c>
      <c r="J16" s="7" t="s">
        <v>81</v>
      </c>
      <c r="K16" s="7" t="s">
        <v>48</v>
      </c>
      <c r="L16" s="7" t="s">
        <v>82</v>
      </c>
      <c r="M16" s="7" t="s">
        <v>27</v>
      </c>
      <c r="N16" s="7" t="s">
        <v>83</v>
      </c>
      <c r="O16" s="7" t="s">
        <v>84</v>
      </c>
      <c r="P16" s="7" t="s">
        <v>52</v>
      </c>
      <c r="Q16" s="7" t="s">
        <v>31</v>
      </c>
      <c r="R16" s="7" t="s">
        <v>32</v>
      </c>
      <c r="S16" s="9" t="s">
        <v>33</v>
      </c>
      <c r="T16" s="9">
        <v>5</v>
      </c>
      <c r="U16" s="12">
        <v>3490</v>
      </c>
      <c r="V16">
        <v>3</v>
      </c>
      <c r="W16" s="12">
        <v>42148</v>
      </c>
    </row>
    <row r="17" spans="1:23" hidden="1" outlineLevel="1" x14ac:dyDescent="0.3">
      <c r="B17" s="7"/>
      <c r="C17" s="16" t="s">
        <v>272</v>
      </c>
      <c r="D17" s="7"/>
      <c r="E17" s="6"/>
      <c r="F17" s="7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9"/>
      <c r="T17" s="9"/>
      <c r="U17" s="12">
        <f>SUBTOTAL(1,U16:U16)</f>
        <v>3490</v>
      </c>
      <c r="V17">
        <f>SUBTOTAL(1,V16:V16)</f>
        <v>3</v>
      </c>
      <c r="W17" s="12"/>
    </row>
    <row r="18" spans="1:23" outlineLevel="2" x14ac:dyDescent="0.3">
      <c r="A18">
        <v>9</v>
      </c>
      <c r="B18" s="7" t="s">
        <v>19</v>
      </c>
      <c r="C18" s="7" t="s">
        <v>85</v>
      </c>
      <c r="D18" s="7" t="s">
        <v>86</v>
      </c>
      <c r="E18" s="6">
        <v>25965</v>
      </c>
      <c r="F18" s="7" t="s">
        <v>36</v>
      </c>
      <c r="G18" s="7">
        <v>167</v>
      </c>
      <c r="H18" s="8">
        <v>65.3</v>
      </c>
      <c r="I18" s="7" t="s">
        <v>64</v>
      </c>
      <c r="J18" s="7" t="s">
        <v>81</v>
      </c>
      <c r="K18" s="7" t="s">
        <v>66</v>
      </c>
      <c r="L18" s="7" t="s">
        <v>40</v>
      </c>
      <c r="M18" s="7" t="s">
        <v>27</v>
      </c>
      <c r="N18" s="7" t="s">
        <v>87</v>
      </c>
      <c r="O18" s="7" t="s">
        <v>29</v>
      </c>
      <c r="P18" s="7" t="s">
        <v>30</v>
      </c>
      <c r="Q18" s="7" t="s">
        <v>31</v>
      </c>
      <c r="R18" s="7" t="s">
        <v>88</v>
      </c>
      <c r="S18" s="9" t="s">
        <v>89</v>
      </c>
      <c r="T18" s="9">
        <v>2</v>
      </c>
      <c r="U18" s="12">
        <v>608</v>
      </c>
      <c r="V18">
        <v>2</v>
      </c>
      <c r="W18" s="12">
        <v>70164</v>
      </c>
    </row>
    <row r="19" spans="1:23" hidden="1" outlineLevel="1" x14ac:dyDescent="0.3">
      <c r="B19" s="7"/>
      <c r="C19" s="16" t="s">
        <v>273</v>
      </c>
      <c r="D19" s="7"/>
      <c r="E19" s="6"/>
      <c r="F19" s="7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9"/>
      <c r="T19" s="9"/>
      <c r="U19" s="12">
        <f>SUBTOTAL(1,U18:U18)</f>
        <v>608</v>
      </c>
      <c r="V19">
        <f>SUBTOTAL(1,V18:V18)</f>
        <v>2</v>
      </c>
      <c r="W19" s="12"/>
    </row>
    <row r="20" spans="1:23" outlineLevel="2" x14ac:dyDescent="0.3">
      <c r="A20">
        <v>10</v>
      </c>
      <c r="B20" s="7" t="s">
        <v>69</v>
      </c>
      <c r="C20" s="7" t="s">
        <v>90</v>
      </c>
      <c r="D20" s="7" t="s">
        <v>91</v>
      </c>
      <c r="E20" s="6">
        <v>23732</v>
      </c>
      <c r="F20" s="7" t="s">
        <v>72</v>
      </c>
      <c r="G20" s="7">
        <v>160</v>
      </c>
      <c r="H20" s="8">
        <v>62.9</v>
      </c>
      <c r="I20" s="7" t="s">
        <v>47</v>
      </c>
      <c r="J20" s="7" t="s">
        <v>92</v>
      </c>
      <c r="K20" s="7" t="s">
        <v>48</v>
      </c>
      <c r="L20" s="7" t="s">
        <v>37</v>
      </c>
      <c r="M20" s="7" t="s">
        <v>49</v>
      </c>
      <c r="N20" s="7" t="s">
        <v>77</v>
      </c>
      <c r="O20" s="7" t="s">
        <v>42</v>
      </c>
      <c r="P20" s="7" t="s">
        <v>52</v>
      </c>
      <c r="Q20" s="7" t="s">
        <v>31</v>
      </c>
      <c r="R20" s="7" t="s">
        <v>88</v>
      </c>
      <c r="S20" s="9" t="s">
        <v>89</v>
      </c>
      <c r="T20" s="9">
        <v>3</v>
      </c>
      <c r="U20" s="12">
        <v>5375</v>
      </c>
      <c r="V20">
        <v>4</v>
      </c>
      <c r="W20" s="12">
        <v>60241</v>
      </c>
    </row>
    <row r="21" spans="1:23" hidden="1" outlineLevel="1" x14ac:dyDescent="0.3">
      <c r="B21" s="7"/>
      <c r="C21" s="16" t="s">
        <v>274</v>
      </c>
      <c r="D21" s="7"/>
      <c r="E21" s="6"/>
      <c r="F21" s="7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9"/>
      <c r="T21" s="9"/>
      <c r="U21" s="12">
        <f>SUBTOTAL(1,U20:U20)</f>
        <v>5375</v>
      </c>
      <c r="V21">
        <f>SUBTOTAL(1,V20:V20)</f>
        <v>4</v>
      </c>
      <c r="W21" s="12"/>
    </row>
    <row r="22" spans="1:23" outlineLevel="2" x14ac:dyDescent="0.3">
      <c r="A22">
        <v>11</v>
      </c>
      <c r="B22" s="7" t="s">
        <v>93</v>
      </c>
      <c r="C22" s="7" t="s">
        <v>94</v>
      </c>
      <c r="D22" s="7" t="s">
        <v>95</v>
      </c>
      <c r="E22" s="6">
        <v>31733</v>
      </c>
      <c r="F22" s="7" t="s">
        <v>96</v>
      </c>
      <c r="G22" s="7">
        <v>190</v>
      </c>
      <c r="H22" s="8">
        <v>104.3</v>
      </c>
      <c r="I22" s="7" t="s">
        <v>37</v>
      </c>
      <c r="J22" s="7" t="s">
        <v>92</v>
      </c>
      <c r="K22" s="7" t="s">
        <v>39</v>
      </c>
      <c r="L22" s="7" t="s">
        <v>82</v>
      </c>
      <c r="M22" s="7" t="s">
        <v>49</v>
      </c>
      <c r="N22" s="7" t="s">
        <v>97</v>
      </c>
      <c r="O22" s="7" t="s">
        <v>98</v>
      </c>
      <c r="P22" s="7" t="s">
        <v>52</v>
      </c>
      <c r="Q22" s="7" t="s">
        <v>31</v>
      </c>
      <c r="R22" s="7" t="s">
        <v>88</v>
      </c>
      <c r="S22" s="9" t="s">
        <v>89</v>
      </c>
      <c r="T22" s="9">
        <v>2</v>
      </c>
      <c r="U22" s="12">
        <v>3234</v>
      </c>
      <c r="V22">
        <v>2</v>
      </c>
      <c r="W22" s="12">
        <v>73958</v>
      </c>
    </row>
    <row r="23" spans="1:23" hidden="1" outlineLevel="1" x14ac:dyDescent="0.3">
      <c r="B23" s="7"/>
      <c r="C23" s="16" t="s">
        <v>275</v>
      </c>
      <c r="D23" s="7"/>
      <c r="E23" s="6"/>
      <c r="F23" s="7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9"/>
      <c r="T23" s="9"/>
      <c r="U23" s="12">
        <f>SUBTOTAL(1,U22:U22)</f>
        <v>3234</v>
      </c>
      <c r="V23">
        <f>SUBTOTAL(1,V22:V22)</f>
        <v>2</v>
      </c>
      <c r="W23" s="12"/>
    </row>
    <row r="24" spans="1:23" outlineLevel="2" x14ac:dyDescent="0.3">
      <c r="A24">
        <v>12</v>
      </c>
      <c r="B24" s="7" t="s">
        <v>99</v>
      </c>
      <c r="C24" s="7" t="s">
        <v>100</v>
      </c>
      <c r="D24" s="7" t="s">
        <v>101</v>
      </c>
      <c r="E24" s="6">
        <v>28412</v>
      </c>
      <c r="F24" s="7" t="s">
        <v>22</v>
      </c>
      <c r="G24" s="7">
        <v>181</v>
      </c>
      <c r="H24" s="8">
        <v>100.7</v>
      </c>
      <c r="I24" s="7" t="s">
        <v>37</v>
      </c>
      <c r="J24" s="7" t="s">
        <v>92</v>
      </c>
      <c r="K24" s="7" t="s">
        <v>39</v>
      </c>
      <c r="L24" s="7" t="s">
        <v>26</v>
      </c>
      <c r="M24" s="7" t="s">
        <v>49</v>
      </c>
      <c r="N24" s="7" t="s">
        <v>102</v>
      </c>
      <c r="O24" s="7" t="s">
        <v>84</v>
      </c>
      <c r="P24" s="7" t="s">
        <v>30</v>
      </c>
      <c r="Q24" s="7" t="s">
        <v>31</v>
      </c>
      <c r="R24" s="7" t="s">
        <v>88</v>
      </c>
      <c r="S24" s="9" t="s">
        <v>89</v>
      </c>
      <c r="T24" s="9">
        <v>4</v>
      </c>
      <c r="U24" s="12">
        <v>1324</v>
      </c>
      <c r="V24">
        <v>3</v>
      </c>
      <c r="W24" s="12">
        <v>89950</v>
      </c>
    </row>
    <row r="25" spans="1:23" hidden="1" outlineLevel="1" x14ac:dyDescent="0.3">
      <c r="B25" s="7"/>
      <c r="C25" s="16" t="s">
        <v>276</v>
      </c>
      <c r="D25" s="7"/>
      <c r="E25" s="6"/>
      <c r="F25" s="7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9"/>
      <c r="T25" s="9"/>
      <c r="U25" s="12">
        <f>SUBTOTAL(1,U24:U24)</f>
        <v>1324</v>
      </c>
      <c r="V25">
        <f>SUBTOTAL(1,V24:V24)</f>
        <v>3</v>
      </c>
      <c r="W25" s="12"/>
    </row>
    <row r="26" spans="1:23" outlineLevel="2" x14ac:dyDescent="0.3">
      <c r="A26">
        <v>13</v>
      </c>
      <c r="B26" s="7" t="s">
        <v>19</v>
      </c>
      <c r="C26" s="7" t="s">
        <v>103</v>
      </c>
      <c r="D26" s="7" t="s">
        <v>104</v>
      </c>
      <c r="E26" s="6">
        <v>28168</v>
      </c>
      <c r="F26" s="7" t="s">
        <v>36</v>
      </c>
      <c r="G26" s="7">
        <v>183</v>
      </c>
      <c r="H26" s="8">
        <v>70.900000000000006</v>
      </c>
      <c r="I26" s="7" t="s">
        <v>23</v>
      </c>
      <c r="J26" s="7" t="s">
        <v>24</v>
      </c>
      <c r="K26" s="7" t="s">
        <v>25</v>
      </c>
      <c r="L26" s="7" t="s">
        <v>40</v>
      </c>
      <c r="M26" s="7" t="s">
        <v>49</v>
      </c>
      <c r="N26" s="7" t="s">
        <v>105</v>
      </c>
      <c r="O26" s="7" t="s">
        <v>106</v>
      </c>
      <c r="P26" s="7" t="s">
        <v>30</v>
      </c>
      <c r="Q26" s="7" t="s">
        <v>31</v>
      </c>
      <c r="R26" s="7" t="s">
        <v>88</v>
      </c>
      <c r="S26" s="9" t="s">
        <v>89</v>
      </c>
      <c r="T26" s="9">
        <v>4</v>
      </c>
      <c r="U26" s="12">
        <v>420</v>
      </c>
      <c r="V26">
        <v>1</v>
      </c>
      <c r="W26" s="12">
        <v>88587</v>
      </c>
    </row>
    <row r="27" spans="1:23" hidden="1" outlineLevel="1" x14ac:dyDescent="0.3">
      <c r="B27" s="7"/>
      <c r="C27" s="16" t="s">
        <v>277</v>
      </c>
      <c r="D27" s="7"/>
      <c r="E27" s="6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9"/>
      <c r="T27" s="9"/>
      <c r="U27" s="12">
        <f>SUBTOTAL(1,U26:U26)</f>
        <v>420</v>
      </c>
      <c r="V27">
        <f>SUBTOTAL(1,V26:V26)</f>
        <v>1</v>
      </c>
      <c r="W27" s="12"/>
    </row>
    <row r="28" spans="1:23" outlineLevel="2" x14ac:dyDescent="0.3">
      <c r="A28">
        <v>14</v>
      </c>
      <c r="B28" s="7" t="s">
        <v>107</v>
      </c>
      <c r="C28" s="7" t="s">
        <v>108</v>
      </c>
      <c r="D28" s="7" t="s">
        <v>109</v>
      </c>
      <c r="E28" s="6">
        <v>21788</v>
      </c>
      <c r="F28" s="7" t="s">
        <v>110</v>
      </c>
      <c r="G28" s="7">
        <v>156</v>
      </c>
      <c r="H28" s="8">
        <v>68.3</v>
      </c>
      <c r="I28" s="7" t="s">
        <v>111</v>
      </c>
      <c r="J28" s="7" t="s">
        <v>81</v>
      </c>
      <c r="K28" s="7" t="s">
        <v>112</v>
      </c>
      <c r="L28" s="7" t="s">
        <v>37</v>
      </c>
      <c r="M28" s="7" t="s">
        <v>49</v>
      </c>
      <c r="N28" s="7" t="s">
        <v>113</v>
      </c>
      <c r="O28" s="7" t="s">
        <v>114</v>
      </c>
      <c r="P28" s="7" t="s">
        <v>52</v>
      </c>
      <c r="Q28" s="7" t="s">
        <v>115</v>
      </c>
      <c r="R28" s="7" t="s">
        <v>116</v>
      </c>
      <c r="S28" s="9" t="s">
        <v>117</v>
      </c>
      <c r="T28" s="9">
        <v>3</v>
      </c>
      <c r="U28" s="12">
        <v>9812</v>
      </c>
      <c r="V28">
        <v>2</v>
      </c>
      <c r="W28" s="12">
        <v>89487</v>
      </c>
    </row>
    <row r="29" spans="1:23" hidden="1" outlineLevel="1" x14ac:dyDescent="0.3">
      <c r="B29" s="7"/>
      <c r="C29" s="16" t="s">
        <v>278</v>
      </c>
      <c r="D29" s="7"/>
      <c r="E29" s="6"/>
      <c r="F29" s="7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9"/>
      <c r="T29" s="9"/>
      <c r="U29" s="12">
        <f>SUBTOTAL(1,U28:U28)</f>
        <v>9812</v>
      </c>
      <c r="V29">
        <f>SUBTOTAL(1,V28:V28)</f>
        <v>2</v>
      </c>
      <c r="W29" s="12"/>
    </row>
    <row r="30" spans="1:23" outlineLevel="2" x14ac:dyDescent="0.3">
      <c r="A30">
        <v>15</v>
      </c>
      <c r="B30" s="7" t="s">
        <v>118</v>
      </c>
      <c r="C30" s="7" t="s">
        <v>119</v>
      </c>
      <c r="D30" s="7" t="s">
        <v>120</v>
      </c>
      <c r="E30" s="6">
        <v>23804</v>
      </c>
      <c r="F30" s="7" t="s">
        <v>121</v>
      </c>
      <c r="G30" s="7">
        <v>156</v>
      </c>
      <c r="H30" s="8">
        <v>105.3</v>
      </c>
      <c r="I30" s="7" t="s">
        <v>111</v>
      </c>
      <c r="J30" s="7" t="s">
        <v>92</v>
      </c>
      <c r="K30" s="7" t="s">
        <v>112</v>
      </c>
      <c r="L30" s="7" t="s">
        <v>82</v>
      </c>
      <c r="M30" s="7" t="s">
        <v>27</v>
      </c>
      <c r="N30" s="7" t="s">
        <v>122</v>
      </c>
      <c r="O30" s="7" t="s">
        <v>68</v>
      </c>
      <c r="P30" s="7" t="s">
        <v>30</v>
      </c>
      <c r="Q30" s="7" t="s">
        <v>115</v>
      </c>
      <c r="R30" s="7" t="s">
        <v>116</v>
      </c>
      <c r="S30" s="9" t="s">
        <v>117</v>
      </c>
      <c r="T30" s="9">
        <v>1</v>
      </c>
      <c r="U30" s="12">
        <v>8197</v>
      </c>
      <c r="V30">
        <v>4</v>
      </c>
      <c r="W30" s="12">
        <v>89529</v>
      </c>
    </row>
    <row r="31" spans="1:23" hidden="1" outlineLevel="1" x14ac:dyDescent="0.3">
      <c r="B31" s="7"/>
      <c r="C31" s="16" t="s">
        <v>279</v>
      </c>
      <c r="D31" s="7"/>
      <c r="E31" s="6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9"/>
      <c r="T31" s="9"/>
      <c r="U31" s="12">
        <f>SUBTOTAL(1,U30:U30)</f>
        <v>8197</v>
      </c>
      <c r="V31">
        <f>SUBTOTAL(1,V30:V30)</f>
        <v>4</v>
      </c>
      <c r="W31" s="12"/>
    </row>
    <row r="32" spans="1:23" outlineLevel="2" x14ac:dyDescent="0.3">
      <c r="A32">
        <v>16</v>
      </c>
      <c r="B32" s="7" t="s">
        <v>107</v>
      </c>
      <c r="C32" s="7" t="s">
        <v>123</v>
      </c>
      <c r="D32" s="7" t="s">
        <v>124</v>
      </c>
      <c r="E32" s="6">
        <v>25405</v>
      </c>
      <c r="F32" s="7" t="s">
        <v>46</v>
      </c>
      <c r="G32" s="7">
        <v>165</v>
      </c>
      <c r="H32" s="8">
        <v>48.6</v>
      </c>
      <c r="I32" s="7" t="s">
        <v>64</v>
      </c>
      <c r="J32" s="7" t="s">
        <v>92</v>
      </c>
      <c r="K32" s="7" t="s">
        <v>66</v>
      </c>
      <c r="L32" s="7" t="s">
        <v>37</v>
      </c>
      <c r="M32" s="7" t="s">
        <v>49</v>
      </c>
      <c r="N32" s="7" t="s">
        <v>59</v>
      </c>
      <c r="O32" s="7" t="s">
        <v>42</v>
      </c>
      <c r="P32" s="7" t="s">
        <v>52</v>
      </c>
      <c r="Q32" s="7" t="s">
        <v>115</v>
      </c>
      <c r="R32" s="7" t="s">
        <v>116</v>
      </c>
      <c r="S32" s="9" t="s">
        <v>117</v>
      </c>
      <c r="T32" s="9">
        <v>2</v>
      </c>
      <c r="U32" s="12">
        <v>4275</v>
      </c>
      <c r="V32">
        <v>3</v>
      </c>
      <c r="W32" s="12">
        <v>90687</v>
      </c>
    </row>
    <row r="33" spans="1:23" hidden="1" outlineLevel="1" x14ac:dyDescent="0.3">
      <c r="B33" s="7"/>
      <c r="C33" s="16" t="s">
        <v>280</v>
      </c>
      <c r="D33" s="7"/>
      <c r="E33" s="6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9"/>
      <c r="T33" s="9"/>
      <c r="U33" s="12">
        <f>SUBTOTAL(1,U32:U32)</f>
        <v>4275</v>
      </c>
      <c r="V33">
        <f>SUBTOTAL(1,V32:V32)</f>
        <v>3</v>
      </c>
      <c r="W33" s="12"/>
    </row>
    <row r="34" spans="1:23" outlineLevel="2" x14ac:dyDescent="0.3">
      <c r="A34">
        <v>17</v>
      </c>
      <c r="B34" s="7" t="s">
        <v>107</v>
      </c>
      <c r="C34" s="7" t="s">
        <v>125</v>
      </c>
      <c r="D34" s="7" t="s">
        <v>126</v>
      </c>
      <c r="E34" s="6">
        <v>26582</v>
      </c>
      <c r="F34" s="7" t="s">
        <v>22</v>
      </c>
      <c r="G34" s="7">
        <v>154</v>
      </c>
      <c r="H34" s="8">
        <v>105.9</v>
      </c>
      <c r="I34" s="7" t="s">
        <v>64</v>
      </c>
      <c r="J34" s="7" t="s">
        <v>24</v>
      </c>
      <c r="K34" s="7" t="s">
        <v>66</v>
      </c>
      <c r="L34" s="7" t="s">
        <v>40</v>
      </c>
      <c r="M34" s="7" t="s">
        <v>27</v>
      </c>
      <c r="N34" s="7" t="s">
        <v>127</v>
      </c>
      <c r="O34" s="7" t="s">
        <v>29</v>
      </c>
      <c r="P34" s="7" t="s">
        <v>52</v>
      </c>
      <c r="Q34" s="7" t="s">
        <v>115</v>
      </c>
      <c r="R34" s="7" t="s">
        <v>116</v>
      </c>
      <c r="S34" s="9" t="s">
        <v>117</v>
      </c>
      <c r="T34" s="9">
        <v>7</v>
      </c>
      <c r="U34" s="12">
        <v>2486</v>
      </c>
      <c r="V34">
        <v>3</v>
      </c>
      <c r="W34" s="12">
        <v>46523</v>
      </c>
    </row>
    <row r="35" spans="1:23" hidden="1" outlineLevel="1" x14ac:dyDescent="0.3">
      <c r="B35" s="7"/>
      <c r="C35" s="16" t="s">
        <v>281</v>
      </c>
      <c r="D35" s="7"/>
      <c r="E35" s="6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9"/>
      <c r="T35" s="9"/>
      <c r="U35" s="12">
        <f>SUBTOTAL(1,U34:U34)</f>
        <v>2486</v>
      </c>
      <c r="V35">
        <f>SUBTOTAL(1,V34:V34)</f>
        <v>3</v>
      </c>
      <c r="W35" s="12"/>
    </row>
    <row r="36" spans="1:23" outlineLevel="2" x14ac:dyDescent="0.3">
      <c r="A36">
        <v>18</v>
      </c>
      <c r="B36" s="7" t="s">
        <v>107</v>
      </c>
      <c r="C36" s="7" t="s">
        <v>128</v>
      </c>
      <c r="D36" s="7" t="s">
        <v>129</v>
      </c>
      <c r="E36" s="6">
        <v>21793</v>
      </c>
      <c r="F36" s="7" t="s">
        <v>110</v>
      </c>
      <c r="G36" s="7">
        <v>184</v>
      </c>
      <c r="H36" s="8">
        <v>71.099999999999994</v>
      </c>
      <c r="I36" s="7" t="s">
        <v>64</v>
      </c>
      <c r="J36" s="7" t="s">
        <v>24</v>
      </c>
      <c r="K36" s="7" t="s">
        <v>66</v>
      </c>
      <c r="L36" s="7" t="s">
        <v>82</v>
      </c>
      <c r="M36" s="7" t="s">
        <v>49</v>
      </c>
      <c r="N36" s="7" t="s">
        <v>130</v>
      </c>
      <c r="O36" s="7" t="s">
        <v>131</v>
      </c>
      <c r="P36" s="7" t="s">
        <v>52</v>
      </c>
      <c r="Q36" s="7" t="s">
        <v>115</v>
      </c>
      <c r="R36" s="7" t="s">
        <v>116</v>
      </c>
      <c r="S36" s="9" t="s">
        <v>117</v>
      </c>
      <c r="T36" s="9">
        <v>6</v>
      </c>
      <c r="U36" s="12">
        <v>3146</v>
      </c>
      <c r="V36">
        <v>1</v>
      </c>
      <c r="W36" s="12">
        <v>74990</v>
      </c>
    </row>
    <row r="37" spans="1:23" hidden="1" outlineLevel="1" x14ac:dyDescent="0.3">
      <c r="B37" s="7"/>
      <c r="C37" s="16" t="s">
        <v>282</v>
      </c>
      <c r="D37" s="7"/>
      <c r="E37" s="6"/>
      <c r="F37" s="7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9"/>
      <c r="T37" s="9"/>
      <c r="U37" s="12">
        <f>SUBTOTAL(1,U36:U36)</f>
        <v>3146</v>
      </c>
      <c r="V37">
        <f>SUBTOTAL(1,V36:V36)</f>
        <v>1</v>
      </c>
      <c r="W37" s="12"/>
    </row>
    <row r="38" spans="1:23" outlineLevel="2" x14ac:dyDescent="0.3">
      <c r="A38">
        <v>19</v>
      </c>
      <c r="B38" s="7" t="s">
        <v>61</v>
      </c>
      <c r="C38" s="7" t="s">
        <v>132</v>
      </c>
      <c r="D38" s="7" t="s">
        <v>133</v>
      </c>
      <c r="E38" s="6">
        <v>28262</v>
      </c>
      <c r="F38" s="7" t="s">
        <v>58</v>
      </c>
      <c r="G38" s="7">
        <v>155</v>
      </c>
      <c r="H38" s="8">
        <v>70.3</v>
      </c>
      <c r="I38" s="7" t="s">
        <v>64</v>
      </c>
      <c r="J38" s="7" t="s">
        <v>81</v>
      </c>
      <c r="K38" s="7" t="s">
        <v>66</v>
      </c>
      <c r="L38" s="7" t="s">
        <v>40</v>
      </c>
      <c r="M38" s="7" t="s">
        <v>27</v>
      </c>
      <c r="N38" s="7" t="s">
        <v>134</v>
      </c>
      <c r="O38" s="7" t="s">
        <v>135</v>
      </c>
      <c r="P38" s="7" t="s">
        <v>30</v>
      </c>
      <c r="Q38" s="7" t="s">
        <v>31</v>
      </c>
      <c r="R38" s="7" t="s">
        <v>136</v>
      </c>
      <c r="S38" s="9" t="s">
        <v>137</v>
      </c>
      <c r="T38" s="9">
        <v>5</v>
      </c>
      <c r="U38" s="12">
        <v>5549</v>
      </c>
      <c r="V38">
        <v>3</v>
      </c>
      <c r="W38" s="12">
        <v>89400</v>
      </c>
    </row>
    <row r="39" spans="1:23" hidden="1" outlineLevel="1" x14ac:dyDescent="0.3">
      <c r="B39" s="7"/>
      <c r="C39" s="16" t="s">
        <v>283</v>
      </c>
      <c r="D39" s="7"/>
      <c r="E39" s="6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9"/>
      <c r="T39" s="9"/>
      <c r="U39" s="12">
        <f>SUBTOTAL(1,U38:U38)</f>
        <v>5549</v>
      </c>
      <c r="V39">
        <f>SUBTOTAL(1,V38:V38)</f>
        <v>3</v>
      </c>
      <c r="W39" s="12"/>
    </row>
    <row r="40" spans="1:23" outlineLevel="2" x14ac:dyDescent="0.3">
      <c r="A40">
        <v>20</v>
      </c>
      <c r="B40" s="7" t="s">
        <v>69</v>
      </c>
      <c r="C40" s="7" t="s">
        <v>138</v>
      </c>
      <c r="D40" s="7" t="s">
        <v>139</v>
      </c>
      <c r="E40" s="6">
        <v>27767</v>
      </c>
      <c r="F40" s="7" t="s">
        <v>140</v>
      </c>
      <c r="G40" s="7">
        <v>170</v>
      </c>
      <c r="H40" s="8">
        <v>54.7</v>
      </c>
      <c r="I40" s="7" t="s">
        <v>37</v>
      </c>
      <c r="J40" s="7" t="s">
        <v>38</v>
      </c>
      <c r="K40" s="7" t="s">
        <v>39</v>
      </c>
      <c r="L40" s="7" t="s">
        <v>40</v>
      </c>
      <c r="M40" s="7" t="s">
        <v>27</v>
      </c>
      <c r="N40" s="7" t="s">
        <v>141</v>
      </c>
      <c r="O40" s="7" t="s">
        <v>142</v>
      </c>
      <c r="P40" s="7" t="s">
        <v>52</v>
      </c>
      <c r="Q40" s="7" t="s">
        <v>31</v>
      </c>
      <c r="R40" s="7" t="s">
        <v>136</v>
      </c>
      <c r="S40" s="9" t="s">
        <v>137</v>
      </c>
      <c r="T40" s="9">
        <v>4</v>
      </c>
      <c r="U40" s="12">
        <v>3852</v>
      </c>
      <c r="V40">
        <v>5</v>
      </c>
      <c r="W40" s="12">
        <v>72052</v>
      </c>
    </row>
    <row r="41" spans="1:23" hidden="1" outlineLevel="1" x14ac:dyDescent="0.3">
      <c r="B41" s="7"/>
      <c r="C41" s="16" t="s">
        <v>284</v>
      </c>
      <c r="D41" s="7"/>
      <c r="E41" s="6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9"/>
      <c r="T41" s="9"/>
      <c r="U41" s="12">
        <f>SUBTOTAL(1,U40:U40)</f>
        <v>3852</v>
      </c>
      <c r="V41">
        <f>SUBTOTAL(1,V40:V40)</f>
        <v>5</v>
      </c>
      <c r="W41" s="12"/>
    </row>
    <row r="42" spans="1:23" outlineLevel="2" x14ac:dyDescent="0.3">
      <c r="A42">
        <v>21</v>
      </c>
      <c r="B42" s="7" t="s">
        <v>69</v>
      </c>
      <c r="C42" s="7" t="s">
        <v>143</v>
      </c>
      <c r="D42" s="7" t="s">
        <v>144</v>
      </c>
      <c r="E42" s="6">
        <v>35268</v>
      </c>
      <c r="F42" s="7" t="s">
        <v>46</v>
      </c>
      <c r="G42" s="7">
        <v>161</v>
      </c>
      <c r="H42" s="8">
        <v>100.9</v>
      </c>
      <c r="I42" s="7" t="s">
        <v>64</v>
      </c>
      <c r="J42" s="7" t="s">
        <v>65</v>
      </c>
      <c r="K42" s="7" t="s">
        <v>66</v>
      </c>
      <c r="L42" s="7" t="s">
        <v>26</v>
      </c>
      <c r="M42" s="7" t="s">
        <v>49</v>
      </c>
      <c r="N42" s="7" t="s">
        <v>145</v>
      </c>
      <c r="O42" s="7" t="s">
        <v>78</v>
      </c>
      <c r="P42" s="7" t="s">
        <v>52</v>
      </c>
      <c r="Q42" s="7" t="s">
        <v>31</v>
      </c>
      <c r="R42" s="7" t="s">
        <v>136</v>
      </c>
      <c r="S42" s="9" t="s">
        <v>137</v>
      </c>
      <c r="T42" s="9">
        <v>5</v>
      </c>
      <c r="U42" s="12">
        <v>9500</v>
      </c>
      <c r="V42">
        <v>4</v>
      </c>
      <c r="W42" s="12">
        <v>72264</v>
      </c>
    </row>
    <row r="43" spans="1:23" hidden="1" outlineLevel="1" x14ac:dyDescent="0.3">
      <c r="B43" s="7"/>
      <c r="C43" s="16" t="s">
        <v>285</v>
      </c>
      <c r="D43" s="7"/>
      <c r="E43" s="6"/>
      <c r="F43" s="7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9"/>
      <c r="T43" s="9"/>
      <c r="U43" s="12">
        <f>SUBTOTAL(1,U42:U42)</f>
        <v>9500</v>
      </c>
      <c r="V43">
        <f>SUBTOTAL(1,V42:V42)</f>
        <v>4</v>
      </c>
      <c r="W43" s="12"/>
    </row>
    <row r="44" spans="1:23" outlineLevel="2" x14ac:dyDescent="0.3">
      <c r="A44">
        <v>22</v>
      </c>
      <c r="B44" s="7" t="s">
        <v>61</v>
      </c>
      <c r="C44" s="7" t="s">
        <v>146</v>
      </c>
      <c r="D44" s="7" t="s">
        <v>147</v>
      </c>
      <c r="E44" s="6">
        <v>23483</v>
      </c>
      <c r="F44" s="7" t="s">
        <v>148</v>
      </c>
      <c r="G44" s="7">
        <v>193</v>
      </c>
      <c r="H44" s="8">
        <v>84.3</v>
      </c>
      <c r="I44" s="7" t="s">
        <v>23</v>
      </c>
      <c r="J44" s="7" t="s">
        <v>81</v>
      </c>
      <c r="K44" s="7" t="s">
        <v>25</v>
      </c>
      <c r="L44" s="7" t="s">
        <v>26</v>
      </c>
      <c r="M44" s="7" t="s">
        <v>49</v>
      </c>
      <c r="N44" s="7" t="s">
        <v>149</v>
      </c>
      <c r="O44" s="7" t="s">
        <v>42</v>
      </c>
      <c r="P44" s="7" t="s">
        <v>30</v>
      </c>
      <c r="Q44" s="7" t="s">
        <v>31</v>
      </c>
      <c r="R44" s="7" t="s">
        <v>136</v>
      </c>
      <c r="S44" s="9" t="s">
        <v>137</v>
      </c>
      <c r="T44" s="9">
        <v>1</v>
      </c>
      <c r="U44" s="12">
        <v>9419</v>
      </c>
      <c r="V44">
        <v>4</v>
      </c>
      <c r="W44" s="12">
        <v>91689</v>
      </c>
    </row>
    <row r="45" spans="1:23" hidden="1" outlineLevel="1" x14ac:dyDescent="0.3">
      <c r="B45" s="7"/>
      <c r="C45" s="16" t="s">
        <v>286</v>
      </c>
      <c r="D45" s="7"/>
      <c r="E45" s="6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9"/>
      <c r="T45" s="9"/>
      <c r="U45" s="12">
        <f>SUBTOTAL(1,U44:U44)</f>
        <v>9419</v>
      </c>
      <c r="V45">
        <f>SUBTOTAL(1,V44:V44)</f>
        <v>4</v>
      </c>
      <c r="W45" s="12"/>
    </row>
    <row r="46" spans="1:23" outlineLevel="2" x14ac:dyDescent="0.3">
      <c r="A46">
        <v>23</v>
      </c>
      <c r="B46" s="7" t="s">
        <v>61</v>
      </c>
      <c r="C46" s="7" t="s">
        <v>150</v>
      </c>
      <c r="D46" s="7" t="s">
        <v>151</v>
      </c>
      <c r="E46" s="6">
        <v>20437</v>
      </c>
      <c r="F46" s="7" t="s">
        <v>72</v>
      </c>
      <c r="G46" s="7">
        <v>164</v>
      </c>
      <c r="H46" s="8">
        <v>66.8</v>
      </c>
      <c r="I46" s="7" t="s">
        <v>64</v>
      </c>
      <c r="J46" s="7" t="s">
        <v>92</v>
      </c>
      <c r="K46" s="7" t="s">
        <v>66</v>
      </c>
      <c r="L46" s="7" t="s">
        <v>82</v>
      </c>
      <c r="M46" s="7" t="s">
        <v>49</v>
      </c>
      <c r="N46" s="7" t="s">
        <v>152</v>
      </c>
      <c r="O46" s="7" t="s">
        <v>78</v>
      </c>
      <c r="P46" s="7" t="s">
        <v>30</v>
      </c>
      <c r="Q46" s="7" t="s">
        <v>31</v>
      </c>
      <c r="R46" s="7" t="s">
        <v>136</v>
      </c>
      <c r="S46" s="9" t="s">
        <v>137</v>
      </c>
      <c r="T46" s="9">
        <v>3</v>
      </c>
      <c r="U46" s="12">
        <v>1173</v>
      </c>
      <c r="V46">
        <v>3</v>
      </c>
      <c r="W46" s="12">
        <v>88569</v>
      </c>
    </row>
    <row r="47" spans="1:23" hidden="1" outlineLevel="1" x14ac:dyDescent="0.3">
      <c r="B47" s="7"/>
      <c r="C47" s="16" t="s">
        <v>287</v>
      </c>
      <c r="D47" s="7"/>
      <c r="E47" s="6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9"/>
      <c r="T47" s="9"/>
      <c r="U47" s="12">
        <f>SUBTOTAL(1,U46:U46)</f>
        <v>1173</v>
      </c>
      <c r="V47">
        <f>SUBTOTAL(1,V46:V46)</f>
        <v>3</v>
      </c>
      <c r="W47" s="12"/>
    </row>
    <row r="48" spans="1:23" outlineLevel="2" x14ac:dyDescent="0.3">
      <c r="A48">
        <v>24</v>
      </c>
      <c r="B48" s="7" t="s">
        <v>61</v>
      </c>
      <c r="C48" s="7" t="s">
        <v>153</v>
      </c>
      <c r="D48" s="7" t="s">
        <v>154</v>
      </c>
      <c r="E48" s="6">
        <v>36400</v>
      </c>
      <c r="F48" s="7" t="s">
        <v>110</v>
      </c>
      <c r="G48" s="7">
        <v>206</v>
      </c>
      <c r="H48" s="8">
        <v>59.4</v>
      </c>
      <c r="I48" s="7" t="s">
        <v>47</v>
      </c>
      <c r="J48" s="7" t="s">
        <v>65</v>
      </c>
      <c r="K48" s="7" t="s">
        <v>48</v>
      </c>
      <c r="L48" s="7" t="s">
        <v>40</v>
      </c>
      <c r="M48" s="7" t="s">
        <v>49</v>
      </c>
      <c r="N48" s="7" t="s">
        <v>155</v>
      </c>
      <c r="O48" s="7" t="s">
        <v>29</v>
      </c>
      <c r="P48" s="7" t="s">
        <v>30</v>
      </c>
      <c r="Q48" s="7" t="s">
        <v>31</v>
      </c>
      <c r="R48" s="7" t="s">
        <v>136</v>
      </c>
      <c r="S48" s="9" t="s">
        <v>137</v>
      </c>
      <c r="T48" s="9">
        <v>2</v>
      </c>
      <c r="U48" s="12">
        <v>5510</v>
      </c>
      <c r="V48">
        <v>3</v>
      </c>
      <c r="W48" s="12">
        <v>69736</v>
      </c>
    </row>
    <row r="49" spans="1:23" hidden="1" outlineLevel="1" x14ac:dyDescent="0.3">
      <c r="B49" s="7"/>
      <c r="C49" s="16" t="s">
        <v>288</v>
      </c>
      <c r="D49" s="7"/>
      <c r="E49" s="6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9"/>
      <c r="T49" s="9"/>
      <c r="U49" s="12">
        <f>SUBTOTAL(1,U48:U48)</f>
        <v>5510</v>
      </c>
      <c r="V49">
        <f>SUBTOTAL(1,V48:V48)</f>
        <v>3</v>
      </c>
      <c r="W49" s="12"/>
    </row>
    <row r="50" spans="1:23" outlineLevel="2" x14ac:dyDescent="0.3">
      <c r="A50">
        <v>25</v>
      </c>
      <c r="B50" s="7" t="s">
        <v>61</v>
      </c>
      <c r="C50" s="7" t="s">
        <v>156</v>
      </c>
      <c r="D50" s="7" t="s">
        <v>157</v>
      </c>
      <c r="E50" s="6">
        <v>24309</v>
      </c>
      <c r="F50" s="7" t="s">
        <v>46</v>
      </c>
      <c r="G50" s="7">
        <v>203</v>
      </c>
      <c r="H50" s="8">
        <v>77.8</v>
      </c>
      <c r="I50" s="7" t="s">
        <v>47</v>
      </c>
      <c r="J50" s="7" t="s">
        <v>81</v>
      </c>
      <c r="K50" s="7" t="s">
        <v>48</v>
      </c>
      <c r="L50" s="7" t="s">
        <v>37</v>
      </c>
      <c r="M50" s="7" t="s">
        <v>49</v>
      </c>
      <c r="N50" s="7" t="s">
        <v>77</v>
      </c>
      <c r="O50" s="7" t="s">
        <v>135</v>
      </c>
      <c r="P50" s="7" t="s">
        <v>30</v>
      </c>
      <c r="Q50" s="7" t="s">
        <v>31</v>
      </c>
      <c r="R50" s="7" t="s">
        <v>136</v>
      </c>
      <c r="S50" s="9" t="s">
        <v>137</v>
      </c>
      <c r="T50" s="9">
        <v>6</v>
      </c>
      <c r="U50" s="12">
        <v>8604</v>
      </c>
      <c r="V50">
        <v>2</v>
      </c>
      <c r="W50" s="12">
        <v>83198</v>
      </c>
    </row>
    <row r="51" spans="1:23" hidden="1" outlineLevel="1" x14ac:dyDescent="0.3">
      <c r="B51" s="7"/>
      <c r="C51" s="16" t="s">
        <v>289</v>
      </c>
      <c r="D51" s="7"/>
      <c r="E51" s="6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9"/>
      <c r="T51" s="9"/>
      <c r="U51" s="12">
        <f>SUBTOTAL(1,U50:U50)</f>
        <v>8604</v>
      </c>
      <c r="V51">
        <f>SUBTOTAL(1,V50:V50)</f>
        <v>2</v>
      </c>
      <c r="W51" s="12"/>
    </row>
    <row r="52" spans="1:23" outlineLevel="2" x14ac:dyDescent="0.3">
      <c r="A52">
        <v>26</v>
      </c>
      <c r="B52" s="7" t="s">
        <v>19</v>
      </c>
      <c r="C52" s="7" t="s">
        <v>158</v>
      </c>
      <c r="D52" s="7" t="s">
        <v>159</v>
      </c>
      <c r="E52" s="6">
        <v>28570</v>
      </c>
      <c r="F52" s="7" t="s">
        <v>148</v>
      </c>
      <c r="G52" s="7">
        <v>201</v>
      </c>
      <c r="H52" s="8">
        <v>85.9</v>
      </c>
      <c r="I52" s="7" t="s">
        <v>64</v>
      </c>
      <c r="J52" s="7" t="s">
        <v>160</v>
      </c>
      <c r="K52" s="7" t="s">
        <v>66</v>
      </c>
      <c r="L52" s="7" t="s">
        <v>40</v>
      </c>
      <c r="M52" s="7" t="s">
        <v>27</v>
      </c>
      <c r="N52" s="7" t="s">
        <v>28</v>
      </c>
      <c r="O52" s="7" t="s">
        <v>60</v>
      </c>
      <c r="P52" s="7" t="s">
        <v>30</v>
      </c>
      <c r="Q52" s="7" t="s">
        <v>31</v>
      </c>
      <c r="R52" s="7" t="s">
        <v>136</v>
      </c>
      <c r="S52" s="9" t="s">
        <v>137</v>
      </c>
      <c r="T52" s="9">
        <v>7</v>
      </c>
      <c r="U52" s="12">
        <v>6772</v>
      </c>
      <c r="V52">
        <v>4</v>
      </c>
      <c r="W52" s="12">
        <v>76581</v>
      </c>
    </row>
    <row r="53" spans="1:23" hidden="1" outlineLevel="1" x14ac:dyDescent="0.3">
      <c r="B53" s="7"/>
      <c r="C53" s="16" t="s">
        <v>290</v>
      </c>
      <c r="D53" s="7"/>
      <c r="E53" s="6"/>
      <c r="F53" s="7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9"/>
      <c r="T53" s="9"/>
      <c r="U53" s="12">
        <f>SUBTOTAL(1,U52:U52)</f>
        <v>6772</v>
      </c>
      <c r="V53">
        <f>SUBTOTAL(1,V52:V52)</f>
        <v>4</v>
      </c>
      <c r="W53" s="12"/>
    </row>
    <row r="54" spans="1:23" outlineLevel="2" x14ac:dyDescent="0.3">
      <c r="A54">
        <v>27</v>
      </c>
      <c r="B54" s="7" t="s">
        <v>107</v>
      </c>
      <c r="C54" s="7" t="s">
        <v>161</v>
      </c>
      <c r="D54" s="7" t="s">
        <v>162</v>
      </c>
      <c r="E54" s="6">
        <v>25767</v>
      </c>
      <c r="F54" s="7" t="s">
        <v>46</v>
      </c>
      <c r="G54" s="7">
        <v>199</v>
      </c>
      <c r="H54" s="8">
        <v>93.4</v>
      </c>
      <c r="I54" s="7" t="s">
        <v>47</v>
      </c>
      <c r="J54" s="7" t="s">
        <v>160</v>
      </c>
      <c r="K54" s="7" t="s">
        <v>48</v>
      </c>
      <c r="L54" s="7" t="s">
        <v>26</v>
      </c>
      <c r="M54" s="7" t="s">
        <v>27</v>
      </c>
      <c r="N54" s="7" t="s">
        <v>163</v>
      </c>
      <c r="O54" s="7" t="s">
        <v>106</v>
      </c>
      <c r="P54" s="7" t="s">
        <v>52</v>
      </c>
      <c r="Q54" s="7" t="s">
        <v>115</v>
      </c>
      <c r="R54" s="7" t="s">
        <v>164</v>
      </c>
      <c r="S54" s="9" t="s">
        <v>165</v>
      </c>
      <c r="T54" s="9">
        <v>4</v>
      </c>
      <c r="U54" s="12">
        <v>3357</v>
      </c>
      <c r="V54">
        <v>1</v>
      </c>
      <c r="W54" s="12">
        <v>64418</v>
      </c>
    </row>
    <row r="55" spans="1:23" hidden="1" outlineLevel="1" x14ac:dyDescent="0.3">
      <c r="B55" s="7"/>
      <c r="C55" s="16" t="s">
        <v>291</v>
      </c>
      <c r="D55" s="7"/>
      <c r="E55" s="6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9"/>
      <c r="T55" s="9"/>
      <c r="U55" s="12">
        <f>SUBTOTAL(1,U54:U54)</f>
        <v>3357</v>
      </c>
      <c r="V55">
        <f>SUBTOTAL(1,V54:V54)</f>
        <v>1</v>
      </c>
      <c r="W55" s="12"/>
    </row>
    <row r="56" spans="1:23" outlineLevel="2" x14ac:dyDescent="0.3">
      <c r="A56">
        <v>28</v>
      </c>
      <c r="B56" s="7" t="s">
        <v>107</v>
      </c>
      <c r="C56" s="7" t="s">
        <v>166</v>
      </c>
      <c r="D56" s="7" t="s">
        <v>167</v>
      </c>
      <c r="E56" s="6">
        <v>30020</v>
      </c>
      <c r="F56" s="7" t="s">
        <v>121</v>
      </c>
      <c r="G56" s="7">
        <v>174</v>
      </c>
      <c r="H56" s="8">
        <v>95.5</v>
      </c>
      <c r="I56" s="7" t="s">
        <v>111</v>
      </c>
      <c r="J56" s="7" t="s">
        <v>38</v>
      </c>
      <c r="K56" s="7" t="s">
        <v>112</v>
      </c>
      <c r="L56" s="7" t="s">
        <v>168</v>
      </c>
      <c r="M56" s="7" t="s">
        <v>49</v>
      </c>
      <c r="N56" s="7" t="s">
        <v>105</v>
      </c>
      <c r="O56" s="7" t="s">
        <v>51</v>
      </c>
      <c r="P56" s="7" t="s">
        <v>52</v>
      </c>
      <c r="Q56" s="7" t="s">
        <v>115</v>
      </c>
      <c r="R56" s="7" t="s">
        <v>164</v>
      </c>
      <c r="S56" s="9" t="s">
        <v>165</v>
      </c>
      <c r="T56" s="9">
        <v>1</v>
      </c>
      <c r="U56" s="12">
        <v>4920</v>
      </c>
      <c r="V56">
        <v>3</v>
      </c>
      <c r="W56" s="12">
        <v>83146</v>
      </c>
    </row>
    <row r="57" spans="1:23" hidden="1" outlineLevel="1" x14ac:dyDescent="0.3">
      <c r="B57" s="7"/>
      <c r="C57" s="16" t="s">
        <v>292</v>
      </c>
      <c r="D57" s="7"/>
      <c r="E57" s="6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9"/>
      <c r="T57" s="9"/>
      <c r="U57" s="12">
        <f>SUBTOTAL(1,U56:U56)</f>
        <v>4920</v>
      </c>
      <c r="V57">
        <f>SUBTOTAL(1,V56:V56)</f>
        <v>3</v>
      </c>
      <c r="W57" s="12"/>
    </row>
    <row r="58" spans="1:23" outlineLevel="2" x14ac:dyDescent="0.3">
      <c r="A58">
        <v>29</v>
      </c>
      <c r="B58" s="7" t="s">
        <v>118</v>
      </c>
      <c r="C58" s="7" t="s">
        <v>169</v>
      </c>
      <c r="D58" s="7" t="s">
        <v>170</v>
      </c>
      <c r="E58" s="6">
        <v>34361</v>
      </c>
      <c r="F58" s="7" t="s">
        <v>36</v>
      </c>
      <c r="G58" s="7">
        <v>206</v>
      </c>
      <c r="H58" s="8">
        <v>52.2</v>
      </c>
      <c r="I58" s="7" t="s">
        <v>64</v>
      </c>
      <c r="J58" s="7" t="s">
        <v>92</v>
      </c>
      <c r="K58" s="7" t="s">
        <v>66</v>
      </c>
      <c r="L58" s="7" t="s">
        <v>40</v>
      </c>
      <c r="M58" s="7" t="s">
        <v>49</v>
      </c>
      <c r="N58" s="7" t="s">
        <v>77</v>
      </c>
      <c r="O58" s="7" t="s">
        <v>114</v>
      </c>
      <c r="P58" s="7" t="s">
        <v>30</v>
      </c>
      <c r="Q58" s="7" t="s">
        <v>115</v>
      </c>
      <c r="R58" s="7" t="s">
        <v>164</v>
      </c>
      <c r="S58" s="9" t="s">
        <v>165</v>
      </c>
      <c r="T58" s="9">
        <v>1</v>
      </c>
      <c r="U58" s="12">
        <v>7885</v>
      </c>
      <c r="V58">
        <v>3</v>
      </c>
      <c r="W58" s="12">
        <v>95900</v>
      </c>
    </row>
    <row r="59" spans="1:23" hidden="1" outlineLevel="1" x14ac:dyDescent="0.3">
      <c r="B59" s="7"/>
      <c r="C59" s="16" t="s">
        <v>293</v>
      </c>
      <c r="D59" s="7"/>
      <c r="E59" s="6"/>
      <c r="F59" s="7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9"/>
      <c r="T59" s="9"/>
      <c r="U59" s="12">
        <f>SUBTOTAL(1,U58:U58)</f>
        <v>7885</v>
      </c>
      <c r="V59">
        <f>SUBTOTAL(1,V58:V58)</f>
        <v>3</v>
      </c>
      <c r="W59" s="12"/>
    </row>
    <row r="60" spans="1:23" outlineLevel="2" x14ac:dyDescent="0.3">
      <c r="A60">
        <v>30</v>
      </c>
      <c r="B60" s="7" t="s">
        <v>171</v>
      </c>
      <c r="C60" s="7" t="s">
        <v>172</v>
      </c>
      <c r="D60" s="7" t="s">
        <v>173</v>
      </c>
      <c r="E60" s="6">
        <v>29137</v>
      </c>
      <c r="F60" s="7" t="s">
        <v>22</v>
      </c>
      <c r="G60" s="7">
        <v>147</v>
      </c>
      <c r="H60" s="8">
        <v>74.599999999999994</v>
      </c>
      <c r="I60" s="7" t="s">
        <v>64</v>
      </c>
      <c r="J60" s="7" t="s">
        <v>160</v>
      </c>
      <c r="K60" s="7" t="s">
        <v>66</v>
      </c>
      <c r="L60" s="7" t="s">
        <v>37</v>
      </c>
      <c r="M60" s="7" t="s">
        <v>49</v>
      </c>
      <c r="N60" s="7" t="s">
        <v>174</v>
      </c>
      <c r="O60" s="7" t="s">
        <v>98</v>
      </c>
      <c r="P60" s="7" t="s">
        <v>30</v>
      </c>
      <c r="Q60" s="7" t="s">
        <v>175</v>
      </c>
      <c r="R60" s="7" t="s">
        <v>176</v>
      </c>
      <c r="S60" s="9" t="s">
        <v>177</v>
      </c>
      <c r="T60" s="9">
        <v>2</v>
      </c>
      <c r="U60" s="12">
        <v>3586</v>
      </c>
      <c r="V60">
        <v>4</v>
      </c>
      <c r="W60" s="12">
        <v>70324</v>
      </c>
    </row>
    <row r="61" spans="1:23" hidden="1" outlineLevel="1" x14ac:dyDescent="0.3">
      <c r="B61" s="7"/>
      <c r="C61" s="16" t="s">
        <v>294</v>
      </c>
      <c r="D61" s="7"/>
      <c r="E61" s="6"/>
      <c r="F61" s="7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9"/>
      <c r="T61" s="9"/>
      <c r="U61" s="12">
        <f>SUBTOTAL(1,U60:U60)</f>
        <v>3586</v>
      </c>
      <c r="V61">
        <f>SUBTOTAL(1,V60:V60)</f>
        <v>4</v>
      </c>
      <c r="W61" s="12"/>
    </row>
    <row r="62" spans="1:23" outlineLevel="2" x14ac:dyDescent="0.3">
      <c r="A62">
        <v>31</v>
      </c>
      <c r="B62" s="7" t="s">
        <v>171</v>
      </c>
      <c r="C62" s="7" t="s">
        <v>178</v>
      </c>
      <c r="D62" s="7" t="s">
        <v>179</v>
      </c>
      <c r="E62" s="6">
        <v>32867</v>
      </c>
      <c r="F62" s="7" t="s">
        <v>140</v>
      </c>
      <c r="G62" s="7">
        <v>180</v>
      </c>
      <c r="H62" s="8">
        <v>81.7</v>
      </c>
      <c r="I62" s="7" t="s">
        <v>47</v>
      </c>
      <c r="J62" s="7" t="s">
        <v>38</v>
      </c>
      <c r="K62" s="7" t="s">
        <v>48</v>
      </c>
      <c r="L62" s="7" t="s">
        <v>168</v>
      </c>
      <c r="M62" s="7" t="s">
        <v>27</v>
      </c>
      <c r="N62" s="7" t="s">
        <v>163</v>
      </c>
      <c r="O62" s="7" t="s">
        <v>60</v>
      </c>
      <c r="P62" s="7" t="s">
        <v>30</v>
      </c>
      <c r="Q62" s="7" t="s">
        <v>175</v>
      </c>
      <c r="R62" s="7" t="s">
        <v>176</v>
      </c>
      <c r="S62" s="9" t="s">
        <v>177</v>
      </c>
      <c r="T62" s="9">
        <v>6</v>
      </c>
      <c r="U62" s="12">
        <v>1602</v>
      </c>
      <c r="V62">
        <v>2</v>
      </c>
      <c r="W62" s="12">
        <v>37617</v>
      </c>
    </row>
    <row r="63" spans="1:23" hidden="1" outlineLevel="1" x14ac:dyDescent="0.3">
      <c r="B63" s="7"/>
      <c r="C63" s="16" t="s">
        <v>295</v>
      </c>
      <c r="D63" s="7"/>
      <c r="E63" s="6"/>
      <c r="F63" s="7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9"/>
      <c r="T63" s="9"/>
      <c r="U63" s="12">
        <f>SUBTOTAL(1,U62:U62)</f>
        <v>1602</v>
      </c>
      <c r="V63">
        <f>SUBTOTAL(1,V62:V62)</f>
        <v>2</v>
      </c>
      <c r="W63" s="12"/>
    </row>
    <row r="64" spans="1:23" outlineLevel="2" x14ac:dyDescent="0.3">
      <c r="A64">
        <v>32</v>
      </c>
      <c r="B64" s="7" t="s">
        <v>171</v>
      </c>
      <c r="C64" s="7" t="s">
        <v>180</v>
      </c>
      <c r="D64" s="7" t="s">
        <v>181</v>
      </c>
      <c r="E64" s="6">
        <v>25925</v>
      </c>
      <c r="F64" s="7" t="s">
        <v>140</v>
      </c>
      <c r="G64" s="7">
        <v>181</v>
      </c>
      <c r="H64" s="8">
        <v>78.099999999999994</v>
      </c>
      <c r="I64" s="7" t="s">
        <v>64</v>
      </c>
      <c r="J64" s="7" t="s">
        <v>92</v>
      </c>
      <c r="K64" s="7" t="s">
        <v>66</v>
      </c>
      <c r="L64" s="7" t="s">
        <v>37</v>
      </c>
      <c r="M64" s="7" t="s">
        <v>49</v>
      </c>
      <c r="N64" s="7" t="s">
        <v>152</v>
      </c>
      <c r="O64" s="7" t="s">
        <v>182</v>
      </c>
      <c r="P64" s="7" t="s">
        <v>30</v>
      </c>
      <c r="Q64" s="7" t="s">
        <v>175</v>
      </c>
      <c r="R64" s="7" t="s">
        <v>176</v>
      </c>
      <c r="S64" s="9" t="s">
        <v>177</v>
      </c>
      <c r="T64" s="9">
        <v>5</v>
      </c>
      <c r="U64" s="12">
        <v>8713</v>
      </c>
      <c r="V64">
        <v>3</v>
      </c>
      <c r="W64" s="12">
        <v>82674</v>
      </c>
    </row>
    <row r="65" spans="1:23" hidden="1" outlineLevel="1" x14ac:dyDescent="0.3">
      <c r="B65" s="7"/>
      <c r="C65" s="16" t="s">
        <v>296</v>
      </c>
      <c r="D65" s="7"/>
      <c r="E65" s="6"/>
      <c r="F65" s="7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9"/>
      <c r="T65" s="9"/>
      <c r="U65" s="12">
        <f>SUBTOTAL(1,U64:U64)</f>
        <v>8713</v>
      </c>
      <c r="V65">
        <f>SUBTOTAL(1,V64:V64)</f>
        <v>3</v>
      </c>
      <c r="W65" s="12"/>
    </row>
    <row r="66" spans="1:23" outlineLevel="2" x14ac:dyDescent="0.3">
      <c r="A66">
        <v>33</v>
      </c>
      <c r="B66" s="7" t="s">
        <v>183</v>
      </c>
      <c r="C66" s="7" t="s">
        <v>184</v>
      </c>
      <c r="D66" s="7" t="s">
        <v>185</v>
      </c>
      <c r="E66" s="6">
        <v>29529</v>
      </c>
      <c r="F66" s="7" t="s">
        <v>96</v>
      </c>
      <c r="G66" s="7">
        <v>149</v>
      </c>
      <c r="H66" s="8">
        <v>57.1</v>
      </c>
      <c r="I66" s="7" t="s">
        <v>23</v>
      </c>
      <c r="J66" s="7" t="s">
        <v>92</v>
      </c>
      <c r="K66" s="7" t="s">
        <v>25</v>
      </c>
      <c r="L66" s="7" t="s">
        <v>40</v>
      </c>
      <c r="M66" s="7" t="s">
        <v>27</v>
      </c>
      <c r="N66" s="7" t="s">
        <v>186</v>
      </c>
      <c r="O66" s="7" t="s">
        <v>68</v>
      </c>
      <c r="P66" s="7" t="s">
        <v>52</v>
      </c>
      <c r="Q66" s="7" t="s">
        <v>175</v>
      </c>
      <c r="R66" s="7" t="s">
        <v>176</v>
      </c>
      <c r="S66" s="9" t="s">
        <v>177</v>
      </c>
      <c r="T66" s="9">
        <v>3</v>
      </c>
      <c r="U66" s="12">
        <v>5889</v>
      </c>
      <c r="V66">
        <v>2</v>
      </c>
      <c r="W66" s="12">
        <v>49626</v>
      </c>
    </row>
    <row r="67" spans="1:23" hidden="1" outlineLevel="1" x14ac:dyDescent="0.3">
      <c r="B67" s="7"/>
      <c r="C67" s="16" t="s">
        <v>297</v>
      </c>
      <c r="D67" s="7"/>
      <c r="E67" s="6"/>
      <c r="F67" s="7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9"/>
      <c r="T67" s="9"/>
      <c r="U67" s="12">
        <f>SUBTOTAL(1,U66:U66)</f>
        <v>5889</v>
      </c>
      <c r="V67">
        <f>SUBTOTAL(1,V66:V66)</f>
        <v>2</v>
      </c>
      <c r="W67" s="12"/>
    </row>
    <row r="68" spans="1:23" outlineLevel="2" x14ac:dyDescent="0.3">
      <c r="A68">
        <v>34</v>
      </c>
      <c r="B68" s="7" t="s">
        <v>183</v>
      </c>
      <c r="C68" s="7" t="s">
        <v>187</v>
      </c>
      <c r="D68" s="7" t="s">
        <v>188</v>
      </c>
      <c r="E68" s="6">
        <v>29875</v>
      </c>
      <c r="F68" s="7" t="s">
        <v>22</v>
      </c>
      <c r="G68" s="7">
        <v>146</v>
      </c>
      <c r="H68" s="8">
        <v>56</v>
      </c>
      <c r="I68" s="7" t="s">
        <v>64</v>
      </c>
      <c r="J68" s="7" t="s">
        <v>160</v>
      </c>
      <c r="K68" s="7" t="s">
        <v>66</v>
      </c>
      <c r="L68" s="7" t="s">
        <v>37</v>
      </c>
      <c r="M68" s="7" t="s">
        <v>49</v>
      </c>
      <c r="N68" s="7" t="s">
        <v>145</v>
      </c>
      <c r="O68" s="7" t="s">
        <v>131</v>
      </c>
      <c r="P68" s="7" t="s">
        <v>52</v>
      </c>
      <c r="Q68" s="7" t="s">
        <v>175</v>
      </c>
      <c r="R68" s="7" t="s">
        <v>176</v>
      </c>
      <c r="S68" s="9" t="s">
        <v>177</v>
      </c>
      <c r="T68" s="9">
        <v>4</v>
      </c>
      <c r="U68" s="12">
        <v>3050</v>
      </c>
      <c r="V68">
        <v>3</v>
      </c>
      <c r="W68" s="12">
        <v>50750</v>
      </c>
    </row>
    <row r="69" spans="1:23" hidden="1" outlineLevel="1" x14ac:dyDescent="0.3">
      <c r="B69" s="7"/>
      <c r="C69" s="16" t="s">
        <v>298</v>
      </c>
      <c r="D69" s="7"/>
      <c r="E69" s="6"/>
      <c r="F69" s="7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9"/>
      <c r="T69" s="9"/>
      <c r="U69" s="12">
        <f>SUBTOTAL(1,U68:U68)</f>
        <v>3050</v>
      </c>
      <c r="V69">
        <f>SUBTOTAL(1,V68:V68)</f>
        <v>3</v>
      </c>
      <c r="W69" s="12"/>
    </row>
    <row r="70" spans="1:23" outlineLevel="2" x14ac:dyDescent="0.3">
      <c r="A70">
        <v>35</v>
      </c>
      <c r="B70" s="7" t="s">
        <v>183</v>
      </c>
      <c r="C70" s="7" t="s">
        <v>189</v>
      </c>
      <c r="D70" s="7" t="s">
        <v>188</v>
      </c>
      <c r="E70" s="6">
        <v>20300</v>
      </c>
      <c r="F70" s="7" t="s">
        <v>76</v>
      </c>
      <c r="G70" s="7">
        <v>189</v>
      </c>
      <c r="H70" s="8">
        <v>88.6</v>
      </c>
      <c r="I70" s="7" t="s">
        <v>47</v>
      </c>
      <c r="J70" s="7" t="s">
        <v>92</v>
      </c>
      <c r="K70" s="7" t="s">
        <v>48</v>
      </c>
      <c r="L70" s="7" t="s">
        <v>37</v>
      </c>
      <c r="M70" s="7" t="s">
        <v>49</v>
      </c>
      <c r="N70" s="7" t="s">
        <v>190</v>
      </c>
      <c r="O70" s="7" t="s">
        <v>60</v>
      </c>
      <c r="P70" s="7" t="s">
        <v>52</v>
      </c>
      <c r="Q70" s="7" t="s">
        <v>175</v>
      </c>
      <c r="R70" s="7" t="s">
        <v>176</v>
      </c>
      <c r="S70" s="9" t="s">
        <v>177</v>
      </c>
      <c r="T70" s="9">
        <v>1</v>
      </c>
      <c r="U70" s="12">
        <v>3498</v>
      </c>
      <c r="V70">
        <v>3</v>
      </c>
      <c r="W70" s="12">
        <v>57255</v>
      </c>
    </row>
    <row r="71" spans="1:23" hidden="1" outlineLevel="1" x14ac:dyDescent="0.3">
      <c r="B71" s="7"/>
      <c r="C71" s="16" t="s">
        <v>299</v>
      </c>
      <c r="D71" s="7"/>
      <c r="E71" s="6"/>
      <c r="F71" s="7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9"/>
      <c r="T71" s="9"/>
      <c r="U71" s="12">
        <f>SUBTOTAL(1,U70:U70)</f>
        <v>3498</v>
      </c>
      <c r="V71">
        <f>SUBTOTAL(1,V70:V70)</f>
        <v>3</v>
      </c>
      <c r="W71" s="12"/>
    </row>
    <row r="72" spans="1:23" outlineLevel="2" x14ac:dyDescent="0.3">
      <c r="A72">
        <v>36</v>
      </c>
      <c r="B72" s="7" t="s">
        <v>183</v>
      </c>
      <c r="C72" s="7" t="s">
        <v>191</v>
      </c>
      <c r="D72" s="7" t="s">
        <v>192</v>
      </c>
      <c r="E72" s="6">
        <v>27428</v>
      </c>
      <c r="F72" s="7" t="s">
        <v>36</v>
      </c>
      <c r="G72" s="7">
        <v>155</v>
      </c>
      <c r="H72" s="8">
        <v>78.2</v>
      </c>
      <c r="I72" s="7" t="s">
        <v>37</v>
      </c>
      <c r="J72" s="7" t="s">
        <v>38</v>
      </c>
      <c r="K72" s="7" t="s">
        <v>39</v>
      </c>
      <c r="L72" s="7" t="s">
        <v>82</v>
      </c>
      <c r="M72" s="7" t="s">
        <v>49</v>
      </c>
      <c r="N72" s="7" t="s">
        <v>145</v>
      </c>
      <c r="O72" s="7" t="s">
        <v>84</v>
      </c>
      <c r="P72" s="7" t="s">
        <v>52</v>
      </c>
      <c r="Q72" s="7" t="s">
        <v>175</v>
      </c>
      <c r="R72" s="7" t="s">
        <v>176</v>
      </c>
      <c r="S72" s="9" t="s">
        <v>177</v>
      </c>
      <c r="T72" s="9">
        <v>4</v>
      </c>
      <c r="U72" s="12">
        <v>7913</v>
      </c>
      <c r="V72">
        <v>5</v>
      </c>
      <c r="W72" s="12">
        <v>70172</v>
      </c>
    </row>
    <row r="73" spans="1:23" hidden="1" outlineLevel="1" x14ac:dyDescent="0.3">
      <c r="B73" s="7"/>
      <c r="C73" s="16" t="s">
        <v>300</v>
      </c>
      <c r="D73" s="7"/>
      <c r="E73" s="6"/>
      <c r="F73" s="7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9"/>
      <c r="T73" s="9"/>
      <c r="U73" s="12">
        <f>SUBTOTAL(1,U72:U72)</f>
        <v>7913</v>
      </c>
      <c r="V73">
        <f>SUBTOTAL(1,V72:V72)</f>
        <v>5</v>
      </c>
      <c r="W73" s="12"/>
    </row>
    <row r="74" spans="1:23" outlineLevel="2" x14ac:dyDescent="0.3">
      <c r="A74">
        <v>37</v>
      </c>
      <c r="B74" s="7" t="s">
        <v>183</v>
      </c>
      <c r="C74" s="7" t="s">
        <v>193</v>
      </c>
      <c r="D74" s="7" t="s">
        <v>194</v>
      </c>
      <c r="E74" s="6">
        <v>31585</v>
      </c>
      <c r="F74" s="7" t="s">
        <v>46</v>
      </c>
      <c r="G74" s="7">
        <v>197</v>
      </c>
      <c r="H74" s="8">
        <v>95.8</v>
      </c>
      <c r="I74" s="7" t="s">
        <v>64</v>
      </c>
      <c r="J74" s="7" t="s">
        <v>65</v>
      </c>
      <c r="K74" s="7" t="s">
        <v>66</v>
      </c>
      <c r="L74" s="7" t="s">
        <v>37</v>
      </c>
      <c r="M74" s="7" t="s">
        <v>49</v>
      </c>
      <c r="N74" s="7" t="s">
        <v>195</v>
      </c>
      <c r="O74" s="7" t="s">
        <v>78</v>
      </c>
      <c r="P74" s="7" t="s">
        <v>52</v>
      </c>
      <c r="Q74" s="7" t="s">
        <v>175</v>
      </c>
      <c r="R74" s="7" t="s">
        <v>176</v>
      </c>
      <c r="S74" s="9" t="s">
        <v>177</v>
      </c>
      <c r="T74" s="9">
        <v>3</v>
      </c>
      <c r="U74" s="12">
        <v>6148</v>
      </c>
      <c r="V74">
        <v>1</v>
      </c>
      <c r="W74" s="12">
        <v>55006</v>
      </c>
    </row>
    <row r="75" spans="1:23" hidden="1" outlineLevel="1" x14ac:dyDescent="0.3">
      <c r="B75" s="7"/>
      <c r="C75" s="16" t="s">
        <v>301</v>
      </c>
      <c r="D75" s="7"/>
      <c r="E75" s="6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9"/>
      <c r="T75" s="9"/>
      <c r="U75" s="12">
        <f>SUBTOTAL(1,U74:U74)</f>
        <v>6148</v>
      </c>
      <c r="V75">
        <f>SUBTOTAL(1,V74:V74)</f>
        <v>1</v>
      </c>
      <c r="W75" s="12"/>
    </row>
    <row r="76" spans="1:23" outlineLevel="2" x14ac:dyDescent="0.3">
      <c r="A76">
        <v>38</v>
      </c>
      <c r="B76" s="7" t="s">
        <v>183</v>
      </c>
      <c r="C76" s="7" t="s">
        <v>196</v>
      </c>
      <c r="D76" s="7" t="s">
        <v>197</v>
      </c>
      <c r="E76" s="6">
        <v>30327</v>
      </c>
      <c r="F76" s="7" t="s">
        <v>140</v>
      </c>
      <c r="G76" s="7">
        <v>179</v>
      </c>
      <c r="H76" s="8">
        <v>59.7</v>
      </c>
      <c r="I76" s="7" t="s">
        <v>111</v>
      </c>
      <c r="J76" s="7" t="s">
        <v>38</v>
      </c>
      <c r="K76" s="7" t="s">
        <v>112</v>
      </c>
      <c r="L76" s="7" t="s">
        <v>40</v>
      </c>
      <c r="M76" s="7" t="s">
        <v>27</v>
      </c>
      <c r="N76" s="7" t="s">
        <v>28</v>
      </c>
      <c r="O76" s="7" t="s">
        <v>135</v>
      </c>
      <c r="P76" s="7" t="s">
        <v>52</v>
      </c>
      <c r="Q76" s="7" t="s">
        <v>175</v>
      </c>
      <c r="R76" s="7" t="s">
        <v>176</v>
      </c>
      <c r="S76" s="9" t="s">
        <v>177</v>
      </c>
      <c r="T76" s="9">
        <v>2</v>
      </c>
      <c r="U76" s="12">
        <v>4840</v>
      </c>
      <c r="V76">
        <v>1</v>
      </c>
      <c r="W76" s="12">
        <v>99140</v>
      </c>
    </row>
    <row r="77" spans="1:23" hidden="1" outlineLevel="1" x14ac:dyDescent="0.3">
      <c r="B77" s="7"/>
      <c r="C77" s="16" t="s">
        <v>302</v>
      </c>
      <c r="D77" s="7"/>
      <c r="E77" s="6"/>
      <c r="F77" s="7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9"/>
      <c r="T77" s="9"/>
      <c r="U77" s="12">
        <f>SUBTOTAL(1,U76:U76)</f>
        <v>4840</v>
      </c>
      <c r="V77">
        <f>SUBTOTAL(1,V76:V76)</f>
        <v>1</v>
      </c>
      <c r="W77" s="12"/>
    </row>
    <row r="78" spans="1:23" outlineLevel="2" x14ac:dyDescent="0.3">
      <c r="A78">
        <v>39</v>
      </c>
      <c r="B78" s="7" t="s">
        <v>43</v>
      </c>
      <c r="C78" s="7" t="s">
        <v>198</v>
      </c>
      <c r="D78" s="7" t="s">
        <v>199</v>
      </c>
      <c r="E78" s="6">
        <v>31016</v>
      </c>
      <c r="F78" s="7" t="s">
        <v>72</v>
      </c>
      <c r="G78" s="7">
        <v>196</v>
      </c>
      <c r="H78" s="8">
        <v>77.7</v>
      </c>
      <c r="I78" s="7" t="s">
        <v>111</v>
      </c>
      <c r="J78" s="7" t="s">
        <v>65</v>
      </c>
      <c r="K78" s="7" t="s">
        <v>112</v>
      </c>
      <c r="L78" s="7" t="s">
        <v>26</v>
      </c>
      <c r="M78" s="7" t="s">
        <v>49</v>
      </c>
      <c r="N78" s="7" t="s">
        <v>155</v>
      </c>
      <c r="O78" s="7" t="s">
        <v>200</v>
      </c>
      <c r="P78" s="7" t="s">
        <v>52</v>
      </c>
      <c r="Q78" s="7" t="s">
        <v>201</v>
      </c>
      <c r="R78" s="7" t="s">
        <v>202</v>
      </c>
      <c r="S78" s="9" t="s">
        <v>203</v>
      </c>
      <c r="T78" s="9">
        <v>4</v>
      </c>
      <c r="U78" s="12">
        <v>2563</v>
      </c>
      <c r="V78">
        <v>3</v>
      </c>
      <c r="W78" s="12">
        <v>79454</v>
      </c>
    </row>
    <row r="79" spans="1:23" hidden="1" outlineLevel="1" x14ac:dyDescent="0.3">
      <c r="B79" s="7"/>
      <c r="C79" s="16" t="s">
        <v>303</v>
      </c>
      <c r="D79" s="7"/>
      <c r="E79" s="6"/>
      <c r="F79" s="7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9"/>
      <c r="T79" s="9"/>
      <c r="U79" s="12">
        <f>SUBTOTAL(1,U78:U78)</f>
        <v>2563</v>
      </c>
      <c r="V79">
        <f>SUBTOTAL(1,V78:V78)</f>
        <v>3</v>
      </c>
      <c r="W79" s="12"/>
    </row>
    <row r="80" spans="1:23" outlineLevel="2" x14ac:dyDescent="0.3">
      <c r="A80">
        <v>40</v>
      </c>
      <c r="B80" s="7" t="s">
        <v>43</v>
      </c>
      <c r="C80" s="7" t="s">
        <v>204</v>
      </c>
      <c r="D80" s="7" t="s">
        <v>205</v>
      </c>
      <c r="E80" s="6">
        <v>32314</v>
      </c>
      <c r="F80" s="7" t="s">
        <v>206</v>
      </c>
      <c r="G80" s="7">
        <v>159</v>
      </c>
      <c r="H80" s="8">
        <v>98</v>
      </c>
      <c r="I80" s="7" t="s">
        <v>64</v>
      </c>
      <c r="J80" s="7" t="s">
        <v>24</v>
      </c>
      <c r="K80" s="7" t="s">
        <v>66</v>
      </c>
      <c r="L80" s="7" t="s">
        <v>26</v>
      </c>
      <c r="M80" s="7" t="s">
        <v>49</v>
      </c>
      <c r="N80" s="7" t="s">
        <v>152</v>
      </c>
      <c r="O80" s="7" t="s">
        <v>78</v>
      </c>
      <c r="P80" s="7" t="s">
        <v>52</v>
      </c>
      <c r="Q80" s="7" t="s">
        <v>201</v>
      </c>
      <c r="R80" s="7" t="s">
        <v>202</v>
      </c>
      <c r="S80" s="9" t="s">
        <v>203</v>
      </c>
      <c r="T80" s="9">
        <v>6</v>
      </c>
      <c r="U80" s="12">
        <v>272</v>
      </c>
      <c r="V80">
        <v>1</v>
      </c>
      <c r="W80" s="12">
        <v>94214</v>
      </c>
    </row>
    <row r="81" spans="1:23" hidden="1" outlineLevel="1" x14ac:dyDescent="0.3">
      <c r="B81" s="7"/>
      <c r="C81" s="16" t="s">
        <v>304</v>
      </c>
      <c r="D81" s="7"/>
      <c r="E81" s="6"/>
      <c r="F81" s="7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9"/>
      <c r="T81" s="9"/>
      <c r="U81" s="12">
        <f>SUBTOTAL(1,U80:U80)</f>
        <v>272</v>
      </c>
      <c r="V81">
        <f>SUBTOTAL(1,V80:V80)</f>
        <v>1</v>
      </c>
      <c r="W81" s="12"/>
    </row>
    <row r="82" spans="1:23" outlineLevel="2" x14ac:dyDescent="0.3">
      <c r="A82">
        <v>41</v>
      </c>
      <c r="B82" s="7" t="s">
        <v>207</v>
      </c>
      <c r="C82" s="7" t="s">
        <v>208</v>
      </c>
      <c r="D82" s="7" t="s">
        <v>209</v>
      </c>
      <c r="E82" s="6">
        <v>27076</v>
      </c>
      <c r="F82" s="7" t="s">
        <v>36</v>
      </c>
      <c r="G82" s="7">
        <v>154</v>
      </c>
      <c r="H82" s="8">
        <v>51.9</v>
      </c>
      <c r="I82" s="7" t="s">
        <v>47</v>
      </c>
      <c r="J82" s="7" t="s">
        <v>38</v>
      </c>
      <c r="K82" s="7" t="s">
        <v>48</v>
      </c>
      <c r="L82" s="7" t="s">
        <v>82</v>
      </c>
      <c r="M82" s="7" t="s">
        <v>49</v>
      </c>
      <c r="N82" s="7" t="s">
        <v>210</v>
      </c>
      <c r="O82" s="7" t="s">
        <v>135</v>
      </c>
      <c r="P82" s="7" t="s">
        <v>30</v>
      </c>
      <c r="Q82" s="7" t="s">
        <v>201</v>
      </c>
      <c r="R82" s="7" t="s">
        <v>202</v>
      </c>
      <c r="S82" s="9" t="s">
        <v>203</v>
      </c>
      <c r="T82" s="9">
        <v>7</v>
      </c>
      <c r="U82" s="12">
        <v>4314</v>
      </c>
      <c r="V82">
        <v>2</v>
      </c>
      <c r="W82" s="12">
        <v>42651</v>
      </c>
    </row>
    <row r="83" spans="1:23" hidden="1" outlineLevel="1" x14ac:dyDescent="0.3">
      <c r="B83" s="7"/>
      <c r="C83" s="16" t="s">
        <v>305</v>
      </c>
      <c r="D83" s="7"/>
      <c r="E83" s="6"/>
      <c r="F83" s="7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9"/>
      <c r="T83" s="9"/>
      <c r="U83" s="12">
        <f>SUBTOTAL(1,U82:U82)</f>
        <v>4314</v>
      </c>
      <c r="V83">
        <f>SUBTOTAL(1,V82:V82)</f>
        <v>2</v>
      </c>
      <c r="W83" s="12"/>
    </row>
    <row r="84" spans="1:23" outlineLevel="2" x14ac:dyDescent="0.3">
      <c r="A84">
        <v>42</v>
      </c>
      <c r="B84" s="7" t="s">
        <v>207</v>
      </c>
      <c r="C84" s="7" t="s">
        <v>211</v>
      </c>
      <c r="D84" s="7" t="s">
        <v>212</v>
      </c>
      <c r="E84" s="6">
        <v>32941</v>
      </c>
      <c r="F84" s="7" t="s">
        <v>121</v>
      </c>
      <c r="G84" s="7">
        <v>185</v>
      </c>
      <c r="H84" s="8">
        <v>55.6</v>
      </c>
      <c r="I84" s="7" t="s">
        <v>37</v>
      </c>
      <c r="J84" s="7" t="s">
        <v>92</v>
      </c>
      <c r="K84" s="7" t="s">
        <v>39</v>
      </c>
      <c r="L84" s="7" t="s">
        <v>40</v>
      </c>
      <c r="M84" s="7" t="s">
        <v>27</v>
      </c>
      <c r="N84" s="7" t="s">
        <v>213</v>
      </c>
      <c r="O84" s="7" t="s">
        <v>42</v>
      </c>
      <c r="P84" s="7" t="s">
        <v>30</v>
      </c>
      <c r="Q84" s="7" t="s">
        <v>201</v>
      </c>
      <c r="R84" s="7" t="s">
        <v>214</v>
      </c>
      <c r="S84" s="9" t="s">
        <v>215</v>
      </c>
      <c r="T84" s="9">
        <v>3</v>
      </c>
      <c r="U84" s="12">
        <v>6336</v>
      </c>
      <c r="V84">
        <v>5</v>
      </c>
      <c r="W84" s="12">
        <v>86414</v>
      </c>
    </row>
    <row r="85" spans="1:23" hidden="1" outlineLevel="1" x14ac:dyDescent="0.3">
      <c r="B85" s="7"/>
      <c r="C85" s="16" t="s">
        <v>306</v>
      </c>
      <c r="D85" s="7"/>
      <c r="E85" s="6"/>
      <c r="F85" s="7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9"/>
      <c r="T85" s="9"/>
      <c r="U85" s="12">
        <f>SUBTOTAL(1,U84:U84)</f>
        <v>6336</v>
      </c>
      <c r="V85">
        <f>SUBTOTAL(1,V84:V84)</f>
        <v>5</v>
      </c>
      <c r="W85" s="12"/>
    </row>
    <row r="86" spans="1:23" outlineLevel="2" x14ac:dyDescent="0.3">
      <c r="A86">
        <v>43</v>
      </c>
      <c r="B86" s="7" t="s">
        <v>207</v>
      </c>
      <c r="C86" s="7" t="s">
        <v>158</v>
      </c>
      <c r="D86" s="7" t="s">
        <v>216</v>
      </c>
      <c r="E86" s="6">
        <v>21927</v>
      </c>
      <c r="F86" s="7" t="s">
        <v>140</v>
      </c>
      <c r="G86" s="7">
        <v>178</v>
      </c>
      <c r="H86" s="8">
        <v>102.3</v>
      </c>
      <c r="I86" s="7" t="s">
        <v>47</v>
      </c>
      <c r="J86" s="7" t="s">
        <v>92</v>
      </c>
      <c r="K86" s="7" t="s">
        <v>48</v>
      </c>
      <c r="L86" s="7" t="s">
        <v>37</v>
      </c>
      <c r="M86" s="7" t="s">
        <v>49</v>
      </c>
      <c r="N86" s="7" t="s">
        <v>155</v>
      </c>
      <c r="O86" s="7" t="s">
        <v>68</v>
      </c>
      <c r="P86" s="7" t="s">
        <v>30</v>
      </c>
      <c r="Q86" s="7" t="s">
        <v>201</v>
      </c>
      <c r="R86" s="7" t="s">
        <v>214</v>
      </c>
      <c r="S86" s="9" t="s">
        <v>215</v>
      </c>
      <c r="T86" s="9">
        <v>3</v>
      </c>
      <c r="U86" s="12">
        <v>7093</v>
      </c>
      <c r="V86">
        <v>2</v>
      </c>
      <c r="W86" s="12">
        <v>93336</v>
      </c>
    </row>
    <row r="87" spans="1:23" hidden="1" outlineLevel="1" x14ac:dyDescent="0.3">
      <c r="B87" s="7"/>
      <c r="C87" s="16" t="s">
        <v>290</v>
      </c>
      <c r="D87" s="7"/>
      <c r="E87" s="6"/>
      <c r="F87" s="7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9"/>
      <c r="T87" s="9"/>
      <c r="U87" s="12">
        <f>SUBTOTAL(1,U86:U86)</f>
        <v>7093</v>
      </c>
      <c r="V87">
        <f>SUBTOTAL(1,V86:V86)</f>
        <v>2</v>
      </c>
      <c r="W87" s="12"/>
    </row>
    <row r="88" spans="1:23" outlineLevel="2" x14ac:dyDescent="0.3">
      <c r="A88">
        <v>44</v>
      </c>
      <c r="B88" s="7" t="s">
        <v>207</v>
      </c>
      <c r="C88" s="7" t="s">
        <v>217</v>
      </c>
      <c r="D88" s="7" t="s">
        <v>218</v>
      </c>
      <c r="E88" s="6">
        <v>23952</v>
      </c>
      <c r="F88" s="7" t="s">
        <v>76</v>
      </c>
      <c r="G88" s="7">
        <v>187</v>
      </c>
      <c r="H88" s="8">
        <v>58.8</v>
      </c>
      <c r="I88" s="7" t="s">
        <v>111</v>
      </c>
      <c r="J88" s="7" t="s">
        <v>38</v>
      </c>
      <c r="K88" s="7" t="s">
        <v>112</v>
      </c>
      <c r="L88" s="7" t="s">
        <v>37</v>
      </c>
      <c r="M88" s="7" t="s">
        <v>49</v>
      </c>
      <c r="N88" s="7" t="s">
        <v>210</v>
      </c>
      <c r="O88" s="7" t="s">
        <v>142</v>
      </c>
      <c r="P88" s="7" t="s">
        <v>30</v>
      </c>
      <c r="Q88" s="7" t="s">
        <v>201</v>
      </c>
      <c r="R88" s="7" t="s">
        <v>214</v>
      </c>
      <c r="S88" s="9" t="s">
        <v>215</v>
      </c>
      <c r="T88" s="9">
        <v>7</v>
      </c>
      <c r="U88" s="12">
        <v>994</v>
      </c>
      <c r="V88">
        <v>1</v>
      </c>
      <c r="W88" s="12">
        <v>41511</v>
      </c>
    </row>
    <row r="89" spans="1:23" hidden="1" outlineLevel="1" x14ac:dyDescent="0.3">
      <c r="B89" s="7"/>
      <c r="C89" s="16" t="s">
        <v>307</v>
      </c>
      <c r="D89" s="7"/>
      <c r="E89" s="6"/>
      <c r="F89" s="7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9"/>
      <c r="T89" s="9"/>
      <c r="U89" s="12">
        <f>SUBTOTAL(1,U88:U88)</f>
        <v>994</v>
      </c>
      <c r="V89">
        <f>SUBTOTAL(1,V88:V88)</f>
        <v>1</v>
      </c>
      <c r="W89" s="12"/>
    </row>
    <row r="90" spans="1:23" outlineLevel="2" x14ac:dyDescent="0.3">
      <c r="A90">
        <v>45</v>
      </c>
      <c r="B90" s="7" t="s">
        <v>219</v>
      </c>
      <c r="C90" s="7" t="s">
        <v>220</v>
      </c>
      <c r="D90" s="7" t="s">
        <v>221</v>
      </c>
      <c r="E90" s="6">
        <v>22044</v>
      </c>
      <c r="F90" s="7" t="s">
        <v>58</v>
      </c>
      <c r="G90" s="7">
        <v>160</v>
      </c>
      <c r="H90" s="8">
        <v>63.8</v>
      </c>
      <c r="I90" s="7" t="s">
        <v>64</v>
      </c>
      <c r="J90" s="7" t="s">
        <v>92</v>
      </c>
      <c r="K90" s="7" t="s">
        <v>66</v>
      </c>
      <c r="L90" s="7" t="s">
        <v>37</v>
      </c>
      <c r="M90" s="7" t="s">
        <v>27</v>
      </c>
      <c r="N90" s="7" t="s">
        <v>222</v>
      </c>
      <c r="O90" s="7" t="s">
        <v>223</v>
      </c>
      <c r="P90" s="7" t="s">
        <v>30</v>
      </c>
      <c r="Q90" s="7" t="s">
        <v>224</v>
      </c>
      <c r="R90" s="7" t="s">
        <v>225</v>
      </c>
      <c r="S90" s="9" t="s">
        <v>226</v>
      </c>
      <c r="T90" s="9">
        <v>4</v>
      </c>
      <c r="U90" s="12">
        <v>1869</v>
      </c>
      <c r="V90">
        <v>2</v>
      </c>
      <c r="W90" s="12">
        <v>50482</v>
      </c>
    </row>
    <row r="91" spans="1:23" hidden="1" outlineLevel="1" x14ac:dyDescent="0.3">
      <c r="B91" s="7"/>
      <c r="C91" s="16" t="s">
        <v>308</v>
      </c>
      <c r="D91" s="7"/>
      <c r="E91" s="6"/>
      <c r="F91" s="7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9"/>
      <c r="T91" s="9"/>
      <c r="U91" s="12">
        <f>SUBTOTAL(1,U90:U90)</f>
        <v>1869</v>
      </c>
      <c r="V91">
        <f>SUBTOTAL(1,V90:V90)</f>
        <v>2</v>
      </c>
      <c r="W91" s="12"/>
    </row>
    <row r="92" spans="1:23" outlineLevel="2" x14ac:dyDescent="0.3">
      <c r="A92">
        <v>46</v>
      </c>
      <c r="B92" s="7" t="s">
        <v>227</v>
      </c>
      <c r="C92" s="7" t="s">
        <v>228</v>
      </c>
      <c r="D92" s="7" t="s">
        <v>229</v>
      </c>
      <c r="E92" s="6">
        <v>26940</v>
      </c>
      <c r="F92" s="7" t="s">
        <v>22</v>
      </c>
      <c r="G92" s="7">
        <v>172</v>
      </c>
      <c r="H92" s="8">
        <v>98.6</v>
      </c>
      <c r="I92" s="7" t="s">
        <v>47</v>
      </c>
      <c r="J92" s="7" t="s">
        <v>160</v>
      </c>
      <c r="K92" s="7" t="s">
        <v>48</v>
      </c>
      <c r="L92" s="7" t="s">
        <v>82</v>
      </c>
      <c r="M92" s="7" t="s">
        <v>49</v>
      </c>
      <c r="N92" s="7" t="s">
        <v>152</v>
      </c>
      <c r="O92" s="7" t="s">
        <v>230</v>
      </c>
      <c r="P92" s="7" t="s">
        <v>52</v>
      </c>
      <c r="Q92" s="7" t="s">
        <v>224</v>
      </c>
      <c r="R92" s="7" t="s">
        <v>225</v>
      </c>
      <c r="S92" s="9" t="s">
        <v>226</v>
      </c>
      <c r="T92" s="9">
        <v>5</v>
      </c>
      <c r="U92" s="12">
        <v>1053</v>
      </c>
      <c r="V92">
        <v>4</v>
      </c>
      <c r="W92" s="12">
        <v>57409</v>
      </c>
    </row>
    <row r="93" spans="1:23" hidden="1" outlineLevel="1" x14ac:dyDescent="0.3">
      <c r="B93" s="7"/>
      <c r="C93" s="16" t="s">
        <v>309</v>
      </c>
      <c r="D93" s="7"/>
      <c r="E93" s="6"/>
      <c r="F93" s="7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9"/>
      <c r="T93" s="9"/>
      <c r="U93" s="12">
        <f>SUBTOTAL(1,U92:U92)</f>
        <v>1053</v>
      </c>
      <c r="V93">
        <f>SUBTOTAL(1,V92:V92)</f>
        <v>4</v>
      </c>
      <c r="W93" s="12"/>
    </row>
    <row r="94" spans="1:23" outlineLevel="2" x14ac:dyDescent="0.3">
      <c r="A94">
        <v>47</v>
      </c>
      <c r="B94" s="7" t="s">
        <v>231</v>
      </c>
      <c r="C94" s="7" t="s">
        <v>232</v>
      </c>
      <c r="D94" s="7" t="s">
        <v>233</v>
      </c>
      <c r="E94" s="6">
        <v>24936</v>
      </c>
      <c r="F94" s="7" t="s">
        <v>148</v>
      </c>
      <c r="G94" s="7">
        <v>184</v>
      </c>
      <c r="H94" s="8">
        <v>61.8</v>
      </c>
      <c r="I94" s="7" t="s">
        <v>111</v>
      </c>
      <c r="J94" s="7" t="s">
        <v>38</v>
      </c>
      <c r="K94" s="7" t="s">
        <v>112</v>
      </c>
      <c r="L94" s="7" t="s">
        <v>37</v>
      </c>
      <c r="M94" s="7" t="s">
        <v>49</v>
      </c>
      <c r="N94" s="7" t="s">
        <v>152</v>
      </c>
      <c r="O94" s="7" t="s">
        <v>234</v>
      </c>
      <c r="P94" s="7" t="s">
        <v>30</v>
      </c>
      <c r="Q94" s="7" t="s">
        <v>224</v>
      </c>
      <c r="R94" s="7" t="s">
        <v>225</v>
      </c>
      <c r="S94" s="9" t="s">
        <v>226</v>
      </c>
      <c r="T94" s="9">
        <v>6</v>
      </c>
      <c r="U94" s="12">
        <v>1636</v>
      </c>
      <c r="V94">
        <v>5</v>
      </c>
      <c r="W94" s="12">
        <v>41140</v>
      </c>
    </row>
    <row r="95" spans="1:23" hidden="1" outlineLevel="1" x14ac:dyDescent="0.3">
      <c r="B95" s="7"/>
      <c r="C95" s="16" t="s">
        <v>310</v>
      </c>
      <c r="D95" s="7"/>
      <c r="E95" s="6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9"/>
      <c r="T95" s="9"/>
      <c r="U95" s="12">
        <f>SUBTOTAL(1,U94:U94)</f>
        <v>1636</v>
      </c>
      <c r="V95">
        <f>SUBTOTAL(1,V94:V94)</f>
        <v>5</v>
      </c>
      <c r="W95" s="12"/>
    </row>
    <row r="96" spans="1:23" outlineLevel="2" x14ac:dyDescent="0.3">
      <c r="A96">
        <v>48</v>
      </c>
      <c r="B96" s="7" t="s">
        <v>235</v>
      </c>
      <c r="C96" s="7" t="s">
        <v>236</v>
      </c>
      <c r="D96" s="7" t="s">
        <v>237</v>
      </c>
      <c r="E96" s="6">
        <v>35567</v>
      </c>
      <c r="F96" s="7" t="s">
        <v>58</v>
      </c>
      <c r="G96" s="7">
        <v>158</v>
      </c>
      <c r="H96" s="8">
        <v>50</v>
      </c>
      <c r="I96" s="7" t="s">
        <v>47</v>
      </c>
      <c r="J96" s="7" t="s">
        <v>92</v>
      </c>
      <c r="K96" s="7" t="s">
        <v>48</v>
      </c>
      <c r="L96" s="7" t="s">
        <v>37</v>
      </c>
      <c r="M96" s="7" t="s">
        <v>49</v>
      </c>
      <c r="N96" s="7" t="s">
        <v>50</v>
      </c>
      <c r="O96" s="7" t="s">
        <v>142</v>
      </c>
      <c r="P96" s="7" t="s">
        <v>30</v>
      </c>
      <c r="Q96" s="7" t="s">
        <v>238</v>
      </c>
      <c r="R96" s="7" t="s">
        <v>239</v>
      </c>
      <c r="S96" s="9" t="s">
        <v>240</v>
      </c>
      <c r="T96" s="9">
        <v>1</v>
      </c>
      <c r="U96" s="12">
        <v>2420</v>
      </c>
      <c r="V96">
        <v>2</v>
      </c>
      <c r="W96" s="12">
        <v>96003</v>
      </c>
    </row>
    <row r="97" spans="1:23" hidden="1" outlineLevel="1" x14ac:dyDescent="0.3">
      <c r="B97" s="7"/>
      <c r="C97" s="16" t="s">
        <v>311</v>
      </c>
      <c r="D97" s="7"/>
      <c r="E97" s="6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9"/>
      <c r="T97" s="9"/>
      <c r="U97" s="12">
        <f>SUBTOTAL(1,U96:U96)</f>
        <v>2420</v>
      </c>
      <c r="V97">
        <f>SUBTOTAL(1,V96:V96)</f>
        <v>2</v>
      </c>
      <c r="W97" s="12"/>
    </row>
    <row r="98" spans="1:23" outlineLevel="2" x14ac:dyDescent="0.3">
      <c r="A98">
        <v>49</v>
      </c>
      <c r="B98" s="7" t="s">
        <v>241</v>
      </c>
      <c r="C98" s="7" t="s">
        <v>242</v>
      </c>
      <c r="D98" s="7" t="s">
        <v>243</v>
      </c>
      <c r="E98" s="6">
        <v>31832</v>
      </c>
      <c r="F98" s="7" t="s">
        <v>121</v>
      </c>
      <c r="G98" s="7">
        <v>200</v>
      </c>
      <c r="H98" s="8">
        <v>45.9</v>
      </c>
      <c r="I98" s="7" t="s">
        <v>64</v>
      </c>
      <c r="J98" s="7" t="s">
        <v>24</v>
      </c>
      <c r="K98" s="7" t="s">
        <v>66</v>
      </c>
      <c r="L98" s="7" t="s">
        <v>37</v>
      </c>
      <c r="M98" s="7" t="s">
        <v>49</v>
      </c>
      <c r="N98" s="7" t="s">
        <v>244</v>
      </c>
      <c r="O98" s="7" t="s">
        <v>42</v>
      </c>
      <c r="P98" s="7" t="s">
        <v>52</v>
      </c>
      <c r="Q98" s="7" t="s">
        <v>238</v>
      </c>
      <c r="R98" s="7" t="s">
        <v>239</v>
      </c>
      <c r="S98" s="9" t="s">
        <v>240</v>
      </c>
      <c r="T98" s="9">
        <v>7</v>
      </c>
      <c r="U98" s="12">
        <v>1954</v>
      </c>
      <c r="V98">
        <v>1</v>
      </c>
      <c r="W98" s="12">
        <v>54366</v>
      </c>
    </row>
    <row r="99" spans="1:23" hidden="1" outlineLevel="1" x14ac:dyDescent="0.3">
      <c r="B99" s="7"/>
      <c r="C99" s="16" t="s">
        <v>312</v>
      </c>
      <c r="D99" s="7"/>
      <c r="E99" s="6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9"/>
      <c r="T99" s="9"/>
      <c r="U99" s="12">
        <f>SUBTOTAL(1,U98:U98)</f>
        <v>1954</v>
      </c>
      <c r="V99">
        <f>SUBTOTAL(1,V98:V98)</f>
        <v>1</v>
      </c>
      <c r="W99" s="12"/>
    </row>
    <row r="100" spans="1:23" outlineLevel="2" x14ac:dyDescent="0.3">
      <c r="A100">
        <v>50</v>
      </c>
      <c r="B100" s="7" t="s">
        <v>43</v>
      </c>
      <c r="C100" s="7" t="s">
        <v>245</v>
      </c>
      <c r="D100" s="7" t="s">
        <v>246</v>
      </c>
      <c r="E100" s="6">
        <v>34178</v>
      </c>
      <c r="F100" s="7" t="s">
        <v>76</v>
      </c>
      <c r="G100" s="7">
        <v>203</v>
      </c>
      <c r="H100" s="8">
        <v>92.5</v>
      </c>
      <c r="I100" s="7" t="s">
        <v>23</v>
      </c>
      <c r="J100" s="7" t="s">
        <v>81</v>
      </c>
      <c r="K100" s="7" t="s">
        <v>25</v>
      </c>
      <c r="L100" s="7" t="s">
        <v>40</v>
      </c>
      <c r="M100" s="7" t="s">
        <v>27</v>
      </c>
      <c r="N100" s="7" t="s">
        <v>247</v>
      </c>
      <c r="O100" s="7" t="s">
        <v>98</v>
      </c>
      <c r="P100" s="7" t="s">
        <v>52</v>
      </c>
      <c r="Q100" s="7" t="s">
        <v>53</v>
      </c>
      <c r="R100" s="7" t="s">
        <v>54</v>
      </c>
      <c r="S100" s="9" t="s">
        <v>248</v>
      </c>
      <c r="T100" s="9">
        <v>6</v>
      </c>
      <c r="U100" s="12">
        <v>4413</v>
      </c>
      <c r="V100">
        <v>3</v>
      </c>
      <c r="W100" s="12">
        <v>86641</v>
      </c>
    </row>
    <row r="101" spans="1:23" hidden="1" outlineLevel="1" x14ac:dyDescent="0.3">
      <c r="B101" s="7"/>
      <c r="C101" s="16" t="s">
        <v>313</v>
      </c>
      <c r="D101" s="7"/>
      <c r="E101" s="6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9"/>
      <c r="T101" s="9"/>
      <c r="U101" s="12">
        <f>SUBTOTAL(1,U100:U100)</f>
        <v>4413</v>
      </c>
      <c r="V101">
        <f>SUBTOTAL(1,V100:V100)</f>
        <v>3</v>
      </c>
      <c r="W101" s="12"/>
    </row>
    <row r="102" spans="1:23" x14ac:dyDescent="0.3">
      <c r="B102" s="7"/>
      <c r="C102" s="16" t="s">
        <v>314</v>
      </c>
      <c r="D102" s="7"/>
      <c r="E102" s="6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9"/>
      <c r="T102" s="9"/>
      <c r="U102" s="12">
        <f>SUBTOTAL(1,U2:U100)</f>
        <v>4370.0600000000004</v>
      </c>
      <c r="V102">
        <f>SUBTOTAL(1,V2:V100)</f>
        <v>2.82</v>
      </c>
      <c r="W102" s="12"/>
    </row>
  </sheetData>
  <autoFilter ref="A1:Y101" xr:uid="{0AF05FE9-D362-4E64-B554-5604DC43B894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5E3D-5F65-4E76-845B-CF93881C046E}">
  <dimension ref="A1:Y52"/>
  <sheetViews>
    <sheetView tabSelected="1" workbookViewId="0">
      <selection activeCell="X4" sqref="X4"/>
    </sheetView>
  </sheetViews>
  <sheetFormatPr defaultRowHeight="14.4" x14ac:dyDescent="0.3"/>
  <cols>
    <col min="5" max="5" width="21.88671875" customWidth="1"/>
    <col min="21" max="21" width="18.21875" customWidth="1"/>
    <col min="23" max="23" width="15.21875" customWidth="1"/>
  </cols>
  <sheetData>
    <row r="1" spans="1:25" ht="119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252</v>
      </c>
      <c r="U1" s="4" t="s">
        <v>256</v>
      </c>
      <c r="V1" s="4" t="s">
        <v>257</v>
      </c>
      <c r="W1" s="4" t="s">
        <v>258</v>
      </c>
      <c r="X1" s="10" t="s">
        <v>249</v>
      </c>
      <c r="Y1" s="10" t="s">
        <v>250</v>
      </c>
    </row>
    <row r="2" spans="1:25" x14ac:dyDescent="0.3">
      <c r="A2">
        <v>1</v>
      </c>
      <c r="B2" s="5" t="s">
        <v>19</v>
      </c>
      <c r="C2" s="5" t="s">
        <v>20</v>
      </c>
      <c r="D2" s="5" t="s">
        <v>21</v>
      </c>
      <c r="E2" s="6">
        <v>35699</v>
      </c>
      <c r="F2" s="5" t="s">
        <v>22</v>
      </c>
      <c r="G2" s="7">
        <v>205</v>
      </c>
      <c r="H2" s="8">
        <v>94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t="s">
        <v>31</v>
      </c>
      <c r="R2" s="7" t="s">
        <v>32</v>
      </c>
      <c r="S2" s="9" t="s">
        <v>33</v>
      </c>
      <c r="T2" s="9">
        <v>3</v>
      </c>
      <c r="U2" s="12">
        <v>1264</v>
      </c>
      <c r="V2">
        <v>2</v>
      </c>
      <c r="W2" s="12">
        <v>41680</v>
      </c>
      <c r="X2">
        <v>108816</v>
      </c>
    </row>
    <row r="3" spans="1:25" x14ac:dyDescent="0.3">
      <c r="A3">
        <v>2</v>
      </c>
      <c r="B3" s="7" t="s">
        <v>19</v>
      </c>
      <c r="C3" s="7" t="s">
        <v>34</v>
      </c>
      <c r="D3" s="7" t="s">
        <v>35</v>
      </c>
      <c r="E3" s="6">
        <v>33641</v>
      </c>
      <c r="F3" s="7" t="s">
        <v>36</v>
      </c>
      <c r="G3" s="7">
        <v>205</v>
      </c>
      <c r="H3" s="8">
        <v>84.2</v>
      </c>
      <c r="I3" s="7" t="s">
        <v>37</v>
      </c>
      <c r="J3" s="7" t="s">
        <v>38</v>
      </c>
      <c r="K3" s="7" t="s">
        <v>39</v>
      </c>
      <c r="L3" s="7" t="s">
        <v>40</v>
      </c>
      <c r="M3" s="7" t="s">
        <v>27</v>
      </c>
      <c r="N3" s="7" t="s">
        <v>41</v>
      </c>
      <c r="O3" s="7" t="s">
        <v>42</v>
      </c>
      <c r="P3" s="7" t="s">
        <v>30</v>
      </c>
      <c r="Q3" s="7" t="s">
        <v>31</v>
      </c>
      <c r="R3" s="7" t="s">
        <v>32</v>
      </c>
      <c r="S3" s="9" t="s">
        <v>33</v>
      </c>
      <c r="T3" s="9">
        <v>4</v>
      </c>
      <c r="U3" s="12">
        <v>4948</v>
      </c>
      <c r="V3">
        <v>3</v>
      </c>
      <c r="W3" s="12">
        <v>32371</v>
      </c>
      <c r="X3">
        <v>109687</v>
      </c>
    </row>
    <row r="4" spans="1:25" x14ac:dyDescent="0.3">
      <c r="A4">
        <v>3</v>
      </c>
      <c r="B4" s="7" t="s">
        <v>43</v>
      </c>
      <c r="C4" s="7" t="s">
        <v>44</v>
      </c>
      <c r="D4" s="7" t="s">
        <v>45</v>
      </c>
      <c r="E4" s="6">
        <v>25394</v>
      </c>
      <c r="F4" s="7" t="s">
        <v>46</v>
      </c>
      <c r="G4" s="7">
        <v>185</v>
      </c>
      <c r="H4" s="8">
        <v>52.9</v>
      </c>
      <c r="I4" s="7" t="s">
        <v>47</v>
      </c>
      <c r="J4" s="7" t="s">
        <v>24</v>
      </c>
      <c r="K4" s="7" t="s">
        <v>48</v>
      </c>
      <c r="L4" s="7" t="s">
        <v>40</v>
      </c>
      <c r="M4" s="7" t="s">
        <v>49</v>
      </c>
      <c r="N4" s="7" t="s">
        <v>50</v>
      </c>
      <c r="O4" s="7" t="s">
        <v>51</v>
      </c>
      <c r="P4" s="7" t="s">
        <v>52</v>
      </c>
      <c r="Q4" s="7" t="s">
        <v>53</v>
      </c>
      <c r="R4" s="7" t="s">
        <v>54</v>
      </c>
      <c r="S4" s="9" t="s">
        <v>55</v>
      </c>
      <c r="T4" s="9">
        <v>6</v>
      </c>
      <c r="U4" s="12">
        <v>8774</v>
      </c>
      <c r="V4">
        <v>4</v>
      </c>
      <c r="W4" s="12">
        <v>99445</v>
      </c>
    </row>
    <row r="5" spans="1:25" x14ac:dyDescent="0.3">
      <c r="A5">
        <v>4</v>
      </c>
      <c r="B5" s="7" t="s">
        <v>19</v>
      </c>
      <c r="C5" s="7" t="s">
        <v>56</v>
      </c>
      <c r="D5" s="7" t="s">
        <v>57</v>
      </c>
      <c r="E5" s="6">
        <v>27532</v>
      </c>
      <c r="F5" s="7" t="s">
        <v>58</v>
      </c>
      <c r="G5" s="7">
        <v>175</v>
      </c>
      <c r="H5" s="8">
        <v>48.9</v>
      </c>
      <c r="I5" s="7" t="s">
        <v>23</v>
      </c>
      <c r="J5" s="7" t="s">
        <v>38</v>
      </c>
      <c r="K5" s="7" t="s">
        <v>25</v>
      </c>
      <c r="L5" s="7" t="s">
        <v>26</v>
      </c>
      <c r="M5" s="7" t="s">
        <v>49</v>
      </c>
      <c r="N5" s="7" t="s">
        <v>59</v>
      </c>
      <c r="O5" s="7" t="s">
        <v>60</v>
      </c>
      <c r="P5" s="7" t="s">
        <v>30</v>
      </c>
      <c r="Q5" s="7" t="s">
        <v>31</v>
      </c>
      <c r="R5" s="7" t="s">
        <v>32</v>
      </c>
      <c r="S5" s="9" t="s">
        <v>33</v>
      </c>
      <c r="T5" s="9">
        <v>5</v>
      </c>
      <c r="U5" s="12">
        <v>5915</v>
      </c>
      <c r="V5">
        <v>3</v>
      </c>
      <c r="W5" s="12">
        <v>64995</v>
      </c>
    </row>
    <row r="6" spans="1:25" x14ac:dyDescent="0.3">
      <c r="A6">
        <v>5</v>
      </c>
      <c r="B6" s="7" t="s">
        <v>61</v>
      </c>
      <c r="C6" s="7" t="s">
        <v>62</v>
      </c>
      <c r="D6" s="7" t="s">
        <v>63</v>
      </c>
      <c r="E6" s="6">
        <v>25706</v>
      </c>
      <c r="F6" s="7" t="s">
        <v>58</v>
      </c>
      <c r="G6" s="7">
        <v>168</v>
      </c>
      <c r="H6" s="8">
        <v>84.8</v>
      </c>
      <c r="I6" s="7" t="s">
        <v>64</v>
      </c>
      <c r="J6" s="7" t="s">
        <v>65</v>
      </c>
      <c r="K6" s="7" t="s">
        <v>66</v>
      </c>
      <c r="L6" s="7" t="s">
        <v>37</v>
      </c>
      <c r="M6" s="7" t="s">
        <v>27</v>
      </c>
      <c r="N6" s="7" t="s">
        <v>67</v>
      </c>
      <c r="O6" s="7" t="s">
        <v>68</v>
      </c>
      <c r="P6" s="7" t="s">
        <v>52</v>
      </c>
      <c r="Q6" s="7" t="s">
        <v>31</v>
      </c>
      <c r="R6" s="7" t="s">
        <v>32</v>
      </c>
      <c r="S6" s="9" t="s">
        <v>33</v>
      </c>
      <c r="T6" s="9">
        <v>4</v>
      </c>
      <c r="U6" s="12">
        <v>3566</v>
      </c>
      <c r="V6">
        <v>2</v>
      </c>
      <c r="W6" s="12">
        <v>33868</v>
      </c>
    </row>
    <row r="7" spans="1:25" x14ac:dyDescent="0.3">
      <c r="A7">
        <v>6</v>
      </c>
      <c r="B7" s="7" t="s">
        <v>69</v>
      </c>
      <c r="C7" s="7" t="s">
        <v>70</v>
      </c>
      <c r="D7" s="7" t="s">
        <v>71</v>
      </c>
      <c r="E7" s="6">
        <v>33944</v>
      </c>
      <c r="F7" s="7" t="s">
        <v>72</v>
      </c>
      <c r="G7" s="7">
        <v>201</v>
      </c>
      <c r="H7" s="8">
        <v>83.2</v>
      </c>
      <c r="I7" s="7" t="s">
        <v>64</v>
      </c>
      <c r="J7" s="7" t="s">
        <v>38</v>
      </c>
      <c r="K7" s="7" t="s">
        <v>66</v>
      </c>
      <c r="L7" s="7" t="s">
        <v>26</v>
      </c>
      <c r="M7" s="7" t="s">
        <v>27</v>
      </c>
      <c r="N7" s="7" t="s">
        <v>73</v>
      </c>
      <c r="O7" s="7" t="s">
        <v>51</v>
      </c>
      <c r="P7" s="7" t="s">
        <v>52</v>
      </c>
      <c r="Q7" s="7" t="s">
        <v>31</v>
      </c>
      <c r="R7" s="7" t="s">
        <v>32</v>
      </c>
      <c r="S7" s="9" t="s">
        <v>33</v>
      </c>
      <c r="T7" s="9">
        <v>1</v>
      </c>
      <c r="U7" s="12">
        <v>2307</v>
      </c>
      <c r="V7">
        <v>5</v>
      </c>
      <c r="W7" s="12">
        <v>69315</v>
      </c>
    </row>
    <row r="8" spans="1:25" x14ac:dyDescent="0.3">
      <c r="A8">
        <v>7</v>
      </c>
      <c r="B8" s="7" t="s">
        <v>19</v>
      </c>
      <c r="C8" s="7" t="s">
        <v>74</v>
      </c>
      <c r="D8" s="7" t="s">
        <v>75</v>
      </c>
      <c r="E8" s="6">
        <v>36370</v>
      </c>
      <c r="F8" s="7" t="s">
        <v>76</v>
      </c>
      <c r="G8" s="7">
        <v>164</v>
      </c>
      <c r="H8" s="8">
        <v>61.1</v>
      </c>
      <c r="I8" s="7" t="s">
        <v>64</v>
      </c>
      <c r="J8" s="7" t="s">
        <v>65</v>
      </c>
      <c r="K8" s="7" t="s">
        <v>66</v>
      </c>
      <c r="L8" s="7" t="s">
        <v>37</v>
      </c>
      <c r="M8" s="7" t="s">
        <v>49</v>
      </c>
      <c r="N8" s="7" t="s">
        <v>77</v>
      </c>
      <c r="O8" s="7" t="s">
        <v>78</v>
      </c>
      <c r="P8" s="7" t="s">
        <v>30</v>
      </c>
      <c r="Q8" s="7" t="s">
        <v>31</v>
      </c>
      <c r="R8" s="7" t="s">
        <v>32</v>
      </c>
      <c r="S8" s="9" t="s">
        <v>33</v>
      </c>
      <c r="T8" s="9">
        <v>1</v>
      </c>
      <c r="U8" s="12">
        <v>2665</v>
      </c>
      <c r="V8">
        <v>4</v>
      </c>
      <c r="W8" s="12">
        <v>96100</v>
      </c>
    </row>
    <row r="9" spans="1:25" x14ac:dyDescent="0.3">
      <c r="A9">
        <v>8</v>
      </c>
      <c r="B9" s="7" t="s">
        <v>69</v>
      </c>
      <c r="C9" s="7" t="s">
        <v>79</v>
      </c>
      <c r="D9" s="7" t="s">
        <v>80</v>
      </c>
      <c r="E9" s="6">
        <v>23141</v>
      </c>
      <c r="F9" s="7" t="s">
        <v>58</v>
      </c>
      <c r="G9" s="7">
        <v>191</v>
      </c>
      <c r="H9" s="8">
        <v>105.7</v>
      </c>
      <c r="I9" s="7" t="s">
        <v>47</v>
      </c>
      <c r="J9" s="7" t="s">
        <v>81</v>
      </c>
      <c r="K9" s="7" t="s">
        <v>48</v>
      </c>
      <c r="L9" s="7" t="s">
        <v>82</v>
      </c>
      <c r="M9" s="7" t="s">
        <v>27</v>
      </c>
      <c r="N9" s="7" t="s">
        <v>83</v>
      </c>
      <c r="O9" s="7" t="s">
        <v>84</v>
      </c>
      <c r="P9" s="7" t="s">
        <v>52</v>
      </c>
      <c r="Q9" s="7" t="s">
        <v>31</v>
      </c>
      <c r="R9" s="7" t="s">
        <v>32</v>
      </c>
      <c r="S9" s="9" t="s">
        <v>33</v>
      </c>
      <c r="T9" s="9">
        <v>5</v>
      </c>
      <c r="U9" s="12">
        <v>3490</v>
      </c>
      <c r="V9">
        <v>3</v>
      </c>
      <c r="W9" s="12">
        <v>42148</v>
      </c>
    </row>
    <row r="10" spans="1:25" x14ac:dyDescent="0.3">
      <c r="A10">
        <v>9</v>
      </c>
      <c r="B10" s="7" t="s">
        <v>19</v>
      </c>
      <c r="C10" s="7" t="s">
        <v>85</v>
      </c>
      <c r="D10" s="7" t="s">
        <v>86</v>
      </c>
      <c r="E10" s="6">
        <v>25965</v>
      </c>
      <c r="F10" s="7" t="s">
        <v>36</v>
      </c>
      <c r="G10" s="7">
        <v>167</v>
      </c>
      <c r="H10" s="8">
        <v>65.3</v>
      </c>
      <c r="I10" s="7" t="s">
        <v>64</v>
      </c>
      <c r="J10" s="7" t="s">
        <v>81</v>
      </c>
      <c r="K10" s="7" t="s">
        <v>66</v>
      </c>
      <c r="L10" s="7" t="s">
        <v>40</v>
      </c>
      <c r="M10" s="7" t="s">
        <v>27</v>
      </c>
      <c r="N10" s="7" t="s">
        <v>87</v>
      </c>
      <c r="O10" s="7" t="s">
        <v>29</v>
      </c>
      <c r="P10" s="7" t="s">
        <v>30</v>
      </c>
      <c r="Q10" s="7" t="s">
        <v>31</v>
      </c>
      <c r="R10" s="7" t="s">
        <v>88</v>
      </c>
      <c r="S10" s="9" t="s">
        <v>89</v>
      </c>
      <c r="T10" s="9">
        <v>2</v>
      </c>
      <c r="U10" s="12">
        <v>608</v>
      </c>
      <c r="V10">
        <v>2</v>
      </c>
      <c r="W10" s="12">
        <v>70164</v>
      </c>
    </row>
    <row r="11" spans="1:25" x14ac:dyDescent="0.3">
      <c r="A11">
        <v>10</v>
      </c>
      <c r="B11" s="7" t="s">
        <v>69</v>
      </c>
      <c r="C11" s="7" t="s">
        <v>90</v>
      </c>
      <c r="D11" s="7" t="s">
        <v>91</v>
      </c>
      <c r="E11" s="6">
        <v>23732</v>
      </c>
      <c r="F11" s="7" t="s">
        <v>72</v>
      </c>
      <c r="G11" s="7">
        <v>160</v>
      </c>
      <c r="H11" s="8">
        <v>62.9</v>
      </c>
      <c r="I11" s="7" t="s">
        <v>47</v>
      </c>
      <c r="J11" s="7" t="s">
        <v>92</v>
      </c>
      <c r="K11" s="7" t="s">
        <v>48</v>
      </c>
      <c r="L11" s="7" t="s">
        <v>37</v>
      </c>
      <c r="M11" s="7" t="s">
        <v>49</v>
      </c>
      <c r="N11" s="7" t="s">
        <v>77</v>
      </c>
      <c r="O11" s="7" t="s">
        <v>42</v>
      </c>
      <c r="P11" s="7" t="s">
        <v>52</v>
      </c>
      <c r="Q11" s="7" t="s">
        <v>31</v>
      </c>
      <c r="R11" s="7" t="s">
        <v>88</v>
      </c>
      <c r="S11" s="9" t="s">
        <v>89</v>
      </c>
      <c r="T11" s="9">
        <v>3</v>
      </c>
      <c r="U11" s="12">
        <v>5375</v>
      </c>
      <c r="V11">
        <v>4</v>
      </c>
      <c r="W11" s="12">
        <v>60241</v>
      </c>
    </row>
    <row r="12" spans="1:25" x14ac:dyDescent="0.3">
      <c r="A12">
        <v>11</v>
      </c>
      <c r="B12" s="7" t="s">
        <v>93</v>
      </c>
      <c r="C12" s="7" t="s">
        <v>94</v>
      </c>
      <c r="D12" s="7" t="s">
        <v>95</v>
      </c>
      <c r="E12" s="6">
        <v>31733</v>
      </c>
      <c r="F12" s="7" t="s">
        <v>96</v>
      </c>
      <c r="G12" s="7">
        <v>190</v>
      </c>
      <c r="H12" s="8">
        <v>104.3</v>
      </c>
      <c r="I12" s="7" t="s">
        <v>37</v>
      </c>
      <c r="J12" s="7" t="s">
        <v>92</v>
      </c>
      <c r="K12" s="7" t="s">
        <v>39</v>
      </c>
      <c r="L12" s="7" t="s">
        <v>82</v>
      </c>
      <c r="M12" s="7" t="s">
        <v>49</v>
      </c>
      <c r="N12" s="7" t="s">
        <v>97</v>
      </c>
      <c r="O12" s="7" t="s">
        <v>98</v>
      </c>
      <c r="P12" s="7" t="s">
        <v>52</v>
      </c>
      <c r="Q12" s="7" t="s">
        <v>31</v>
      </c>
      <c r="R12" s="7" t="s">
        <v>88</v>
      </c>
      <c r="S12" s="9" t="s">
        <v>89</v>
      </c>
      <c r="T12" s="9">
        <v>2</v>
      </c>
      <c r="U12" s="12">
        <v>3234</v>
      </c>
      <c r="V12">
        <v>2</v>
      </c>
      <c r="W12" s="12">
        <v>73958</v>
      </c>
    </row>
    <row r="13" spans="1:25" x14ac:dyDescent="0.3">
      <c r="A13">
        <v>12</v>
      </c>
      <c r="B13" s="7" t="s">
        <v>99</v>
      </c>
      <c r="C13" s="7" t="s">
        <v>100</v>
      </c>
      <c r="D13" s="7" t="s">
        <v>101</v>
      </c>
      <c r="E13" s="6">
        <v>28412</v>
      </c>
      <c r="F13" s="7" t="s">
        <v>22</v>
      </c>
      <c r="G13" s="7">
        <v>181</v>
      </c>
      <c r="H13" s="8">
        <v>100.7</v>
      </c>
      <c r="I13" s="7" t="s">
        <v>37</v>
      </c>
      <c r="J13" s="7" t="s">
        <v>92</v>
      </c>
      <c r="K13" s="7" t="s">
        <v>39</v>
      </c>
      <c r="L13" s="7" t="s">
        <v>26</v>
      </c>
      <c r="M13" s="7" t="s">
        <v>49</v>
      </c>
      <c r="N13" s="7" t="s">
        <v>102</v>
      </c>
      <c r="O13" s="7" t="s">
        <v>84</v>
      </c>
      <c r="P13" s="7" t="s">
        <v>30</v>
      </c>
      <c r="Q13" s="7" t="s">
        <v>31</v>
      </c>
      <c r="R13" s="7" t="s">
        <v>88</v>
      </c>
      <c r="S13" s="9" t="s">
        <v>89</v>
      </c>
      <c r="T13" s="9">
        <v>4</v>
      </c>
      <c r="U13" s="12">
        <v>1324</v>
      </c>
      <c r="V13">
        <v>3</v>
      </c>
      <c r="W13" s="12">
        <v>89950</v>
      </c>
    </row>
    <row r="14" spans="1:25" x14ac:dyDescent="0.3">
      <c r="A14">
        <v>13</v>
      </c>
      <c r="B14" s="7" t="s">
        <v>19</v>
      </c>
      <c r="C14" s="7" t="s">
        <v>103</v>
      </c>
      <c r="D14" s="7" t="s">
        <v>104</v>
      </c>
      <c r="E14" s="6">
        <v>28168</v>
      </c>
      <c r="F14" s="7" t="s">
        <v>36</v>
      </c>
      <c r="G14" s="7">
        <v>183</v>
      </c>
      <c r="H14" s="8">
        <v>70.900000000000006</v>
      </c>
      <c r="I14" s="7" t="s">
        <v>23</v>
      </c>
      <c r="J14" s="7" t="s">
        <v>24</v>
      </c>
      <c r="K14" s="7" t="s">
        <v>25</v>
      </c>
      <c r="L14" s="7" t="s">
        <v>40</v>
      </c>
      <c r="M14" s="7" t="s">
        <v>49</v>
      </c>
      <c r="N14" s="7" t="s">
        <v>105</v>
      </c>
      <c r="O14" s="7" t="s">
        <v>106</v>
      </c>
      <c r="P14" s="7" t="s">
        <v>30</v>
      </c>
      <c r="Q14" s="7" t="s">
        <v>31</v>
      </c>
      <c r="R14" s="7" t="s">
        <v>88</v>
      </c>
      <c r="S14" s="9" t="s">
        <v>89</v>
      </c>
      <c r="T14" s="9">
        <v>4</v>
      </c>
      <c r="U14" s="12">
        <v>420</v>
      </c>
      <c r="V14">
        <v>1</v>
      </c>
      <c r="W14" s="12">
        <v>88587</v>
      </c>
    </row>
    <row r="15" spans="1:25" x14ac:dyDescent="0.3">
      <c r="A15">
        <v>14</v>
      </c>
      <c r="B15" s="7" t="s">
        <v>107</v>
      </c>
      <c r="C15" s="7" t="s">
        <v>108</v>
      </c>
      <c r="D15" s="7" t="s">
        <v>109</v>
      </c>
      <c r="E15" s="6">
        <v>21788</v>
      </c>
      <c r="F15" s="7" t="s">
        <v>110</v>
      </c>
      <c r="G15" s="7">
        <v>156</v>
      </c>
      <c r="H15" s="8">
        <v>68.3</v>
      </c>
      <c r="I15" s="7" t="s">
        <v>111</v>
      </c>
      <c r="J15" s="7" t="s">
        <v>81</v>
      </c>
      <c r="K15" s="7" t="s">
        <v>112</v>
      </c>
      <c r="L15" s="7" t="s">
        <v>37</v>
      </c>
      <c r="M15" s="7" t="s">
        <v>49</v>
      </c>
      <c r="N15" s="7" t="s">
        <v>113</v>
      </c>
      <c r="O15" s="7" t="s">
        <v>114</v>
      </c>
      <c r="P15" s="7" t="s">
        <v>52</v>
      </c>
      <c r="Q15" s="7" t="s">
        <v>115</v>
      </c>
      <c r="R15" s="7" t="s">
        <v>116</v>
      </c>
      <c r="S15" s="9" t="s">
        <v>117</v>
      </c>
      <c r="T15" s="9">
        <v>3</v>
      </c>
      <c r="U15" s="12">
        <v>9812</v>
      </c>
      <c r="V15">
        <v>2</v>
      </c>
      <c r="W15" s="12">
        <v>89487</v>
      </c>
    </row>
    <row r="16" spans="1:25" x14ac:dyDescent="0.3">
      <c r="A16">
        <v>15</v>
      </c>
      <c r="B16" s="7" t="s">
        <v>118</v>
      </c>
      <c r="C16" s="7" t="s">
        <v>119</v>
      </c>
      <c r="D16" s="7" t="s">
        <v>120</v>
      </c>
      <c r="E16" s="6">
        <v>23804</v>
      </c>
      <c r="F16" s="7" t="s">
        <v>121</v>
      </c>
      <c r="G16" s="7">
        <v>156</v>
      </c>
      <c r="H16" s="8">
        <v>105.3</v>
      </c>
      <c r="I16" s="7" t="s">
        <v>111</v>
      </c>
      <c r="J16" s="7" t="s">
        <v>92</v>
      </c>
      <c r="K16" s="7" t="s">
        <v>112</v>
      </c>
      <c r="L16" s="7" t="s">
        <v>82</v>
      </c>
      <c r="M16" s="7" t="s">
        <v>27</v>
      </c>
      <c r="N16" s="7" t="s">
        <v>122</v>
      </c>
      <c r="O16" s="7" t="s">
        <v>68</v>
      </c>
      <c r="P16" s="7" t="s">
        <v>30</v>
      </c>
      <c r="Q16" s="7" t="s">
        <v>115</v>
      </c>
      <c r="R16" s="7" t="s">
        <v>116</v>
      </c>
      <c r="S16" s="9" t="s">
        <v>117</v>
      </c>
      <c r="T16" s="9">
        <v>1</v>
      </c>
      <c r="U16" s="12">
        <v>8197</v>
      </c>
      <c r="V16">
        <v>4</v>
      </c>
      <c r="W16" s="12">
        <v>89529</v>
      </c>
    </row>
    <row r="17" spans="1:23" x14ac:dyDescent="0.3">
      <c r="A17">
        <v>16</v>
      </c>
      <c r="B17" s="7" t="s">
        <v>107</v>
      </c>
      <c r="C17" s="7" t="s">
        <v>123</v>
      </c>
      <c r="D17" s="7" t="s">
        <v>124</v>
      </c>
      <c r="E17" s="6">
        <v>25405</v>
      </c>
      <c r="F17" s="7" t="s">
        <v>46</v>
      </c>
      <c r="G17" s="7">
        <v>165</v>
      </c>
      <c r="H17" s="8">
        <v>48.6</v>
      </c>
      <c r="I17" s="7" t="s">
        <v>64</v>
      </c>
      <c r="J17" s="7" t="s">
        <v>92</v>
      </c>
      <c r="K17" s="7" t="s">
        <v>66</v>
      </c>
      <c r="L17" s="7" t="s">
        <v>37</v>
      </c>
      <c r="M17" s="7" t="s">
        <v>49</v>
      </c>
      <c r="N17" s="7" t="s">
        <v>59</v>
      </c>
      <c r="O17" s="7" t="s">
        <v>42</v>
      </c>
      <c r="P17" s="7" t="s">
        <v>52</v>
      </c>
      <c r="Q17" s="7" t="s">
        <v>115</v>
      </c>
      <c r="R17" s="7" t="s">
        <v>116</v>
      </c>
      <c r="S17" s="9" t="s">
        <v>117</v>
      </c>
      <c r="T17" s="9">
        <v>2</v>
      </c>
      <c r="U17" s="12">
        <v>4275</v>
      </c>
      <c r="V17">
        <v>3</v>
      </c>
      <c r="W17" s="12">
        <v>90687</v>
      </c>
    </row>
    <row r="18" spans="1:23" x14ac:dyDescent="0.3">
      <c r="A18">
        <v>17</v>
      </c>
      <c r="B18" s="7" t="s">
        <v>107</v>
      </c>
      <c r="C18" s="7" t="s">
        <v>125</v>
      </c>
      <c r="D18" s="7" t="s">
        <v>126</v>
      </c>
      <c r="E18" s="6">
        <v>26582</v>
      </c>
      <c r="F18" s="7" t="s">
        <v>22</v>
      </c>
      <c r="G18" s="7">
        <v>154</v>
      </c>
      <c r="H18" s="8">
        <v>105.9</v>
      </c>
      <c r="I18" s="7" t="s">
        <v>64</v>
      </c>
      <c r="J18" s="7" t="s">
        <v>24</v>
      </c>
      <c r="K18" s="7" t="s">
        <v>66</v>
      </c>
      <c r="L18" s="7" t="s">
        <v>40</v>
      </c>
      <c r="M18" s="7" t="s">
        <v>27</v>
      </c>
      <c r="N18" s="7" t="s">
        <v>127</v>
      </c>
      <c r="O18" s="7" t="s">
        <v>29</v>
      </c>
      <c r="P18" s="7" t="s">
        <v>52</v>
      </c>
      <c r="Q18" s="7" t="s">
        <v>115</v>
      </c>
      <c r="R18" s="7" t="s">
        <v>116</v>
      </c>
      <c r="S18" s="9" t="s">
        <v>117</v>
      </c>
      <c r="T18" s="9">
        <v>7</v>
      </c>
      <c r="U18" s="12">
        <v>2486</v>
      </c>
      <c r="V18">
        <v>3</v>
      </c>
      <c r="W18" s="12">
        <v>46523</v>
      </c>
    </row>
    <row r="19" spans="1:23" x14ac:dyDescent="0.3">
      <c r="A19">
        <v>18</v>
      </c>
      <c r="B19" s="7" t="s">
        <v>107</v>
      </c>
      <c r="C19" s="7" t="s">
        <v>128</v>
      </c>
      <c r="D19" s="7" t="s">
        <v>129</v>
      </c>
      <c r="E19" s="6">
        <v>21793</v>
      </c>
      <c r="F19" s="7" t="s">
        <v>110</v>
      </c>
      <c r="G19" s="7">
        <v>184</v>
      </c>
      <c r="H19" s="8">
        <v>71.099999999999994</v>
      </c>
      <c r="I19" s="7" t="s">
        <v>64</v>
      </c>
      <c r="J19" s="7" t="s">
        <v>24</v>
      </c>
      <c r="K19" s="7" t="s">
        <v>66</v>
      </c>
      <c r="L19" s="7" t="s">
        <v>82</v>
      </c>
      <c r="M19" s="7" t="s">
        <v>49</v>
      </c>
      <c r="N19" s="7" t="s">
        <v>130</v>
      </c>
      <c r="O19" s="7" t="s">
        <v>131</v>
      </c>
      <c r="P19" s="7" t="s">
        <v>52</v>
      </c>
      <c r="Q19" s="7" t="s">
        <v>115</v>
      </c>
      <c r="R19" s="7" t="s">
        <v>116</v>
      </c>
      <c r="S19" s="9" t="s">
        <v>117</v>
      </c>
      <c r="T19" s="9">
        <v>6</v>
      </c>
      <c r="U19" s="12">
        <v>3146</v>
      </c>
      <c r="V19">
        <v>1</v>
      </c>
      <c r="W19" s="12">
        <v>74990</v>
      </c>
    </row>
    <row r="20" spans="1:23" x14ac:dyDescent="0.3">
      <c r="A20">
        <v>19</v>
      </c>
      <c r="B20" s="7" t="s">
        <v>61</v>
      </c>
      <c r="C20" s="7" t="s">
        <v>132</v>
      </c>
      <c r="D20" s="7" t="s">
        <v>133</v>
      </c>
      <c r="E20" s="6">
        <v>28262</v>
      </c>
      <c r="F20" s="7" t="s">
        <v>58</v>
      </c>
      <c r="G20" s="7">
        <v>155</v>
      </c>
      <c r="H20" s="8">
        <v>70.3</v>
      </c>
      <c r="I20" s="7" t="s">
        <v>64</v>
      </c>
      <c r="J20" s="7" t="s">
        <v>81</v>
      </c>
      <c r="K20" s="7" t="s">
        <v>66</v>
      </c>
      <c r="L20" s="7" t="s">
        <v>40</v>
      </c>
      <c r="M20" s="7" t="s">
        <v>27</v>
      </c>
      <c r="N20" s="7" t="s">
        <v>134</v>
      </c>
      <c r="O20" s="7" t="s">
        <v>135</v>
      </c>
      <c r="P20" s="7" t="s">
        <v>30</v>
      </c>
      <c r="Q20" s="7" t="s">
        <v>31</v>
      </c>
      <c r="R20" s="7" t="s">
        <v>136</v>
      </c>
      <c r="S20" s="9" t="s">
        <v>137</v>
      </c>
      <c r="T20" s="9">
        <v>5</v>
      </c>
      <c r="U20" s="12">
        <v>5549</v>
      </c>
      <c r="V20">
        <v>3</v>
      </c>
      <c r="W20" s="12">
        <v>89400</v>
      </c>
    </row>
    <row r="21" spans="1:23" x14ac:dyDescent="0.3">
      <c r="A21">
        <v>20</v>
      </c>
      <c r="B21" s="7" t="s">
        <v>69</v>
      </c>
      <c r="C21" s="7" t="s">
        <v>138</v>
      </c>
      <c r="D21" s="7" t="s">
        <v>139</v>
      </c>
      <c r="E21" s="6">
        <v>27767</v>
      </c>
      <c r="F21" s="7" t="s">
        <v>140</v>
      </c>
      <c r="G21" s="7">
        <v>170</v>
      </c>
      <c r="H21" s="8">
        <v>54.7</v>
      </c>
      <c r="I21" s="7" t="s">
        <v>37</v>
      </c>
      <c r="J21" s="7" t="s">
        <v>38</v>
      </c>
      <c r="K21" s="7" t="s">
        <v>39</v>
      </c>
      <c r="L21" s="7" t="s">
        <v>40</v>
      </c>
      <c r="M21" s="7" t="s">
        <v>27</v>
      </c>
      <c r="N21" s="7" t="s">
        <v>141</v>
      </c>
      <c r="O21" s="7" t="s">
        <v>142</v>
      </c>
      <c r="P21" s="7" t="s">
        <v>52</v>
      </c>
      <c r="Q21" s="7" t="s">
        <v>31</v>
      </c>
      <c r="R21" s="7" t="s">
        <v>136</v>
      </c>
      <c r="S21" s="9" t="s">
        <v>137</v>
      </c>
      <c r="T21" s="9">
        <v>4</v>
      </c>
      <c r="U21" s="12">
        <v>3852</v>
      </c>
      <c r="V21">
        <v>5</v>
      </c>
      <c r="W21" s="12">
        <v>72052</v>
      </c>
    </row>
    <row r="22" spans="1:23" x14ac:dyDescent="0.3">
      <c r="A22">
        <v>21</v>
      </c>
      <c r="B22" s="7" t="s">
        <v>69</v>
      </c>
      <c r="C22" s="7" t="s">
        <v>143</v>
      </c>
      <c r="D22" s="7" t="s">
        <v>144</v>
      </c>
      <c r="E22" s="6">
        <v>35268</v>
      </c>
      <c r="F22" s="7" t="s">
        <v>46</v>
      </c>
      <c r="G22" s="7">
        <v>161</v>
      </c>
      <c r="H22" s="8">
        <v>100.9</v>
      </c>
      <c r="I22" s="7" t="s">
        <v>64</v>
      </c>
      <c r="J22" s="7" t="s">
        <v>65</v>
      </c>
      <c r="K22" s="7" t="s">
        <v>66</v>
      </c>
      <c r="L22" s="7" t="s">
        <v>26</v>
      </c>
      <c r="M22" s="7" t="s">
        <v>49</v>
      </c>
      <c r="N22" s="7" t="s">
        <v>145</v>
      </c>
      <c r="O22" s="7" t="s">
        <v>78</v>
      </c>
      <c r="P22" s="7" t="s">
        <v>52</v>
      </c>
      <c r="Q22" s="7" t="s">
        <v>31</v>
      </c>
      <c r="R22" s="7" t="s">
        <v>136</v>
      </c>
      <c r="S22" s="9" t="s">
        <v>137</v>
      </c>
      <c r="T22" s="9">
        <v>5</v>
      </c>
      <c r="U22" s="12">
        <v>9500</v>
      </c>
      <c r="V22">
        <v>4</v>
      </c>
      <c r="W22" s="12">
        <v>72264</v>
      </c>
    </row>
    <row r="23" spans="1:23" x14ac:dyDescent="0.3">
      <c r="A23">
        <v>22</v>
      </c>
      <c r="B23" s="7" t="s">
        <v>61</v>
      </c>
      <c r="C23" s="7" t="s">
        <v>146</v>
      </c>
      <c r="D23" s="7" t="s">
        <v>147</v>
      </c>
      <c r="E23" s="6">
        <v>23483</v>
      </c>
      <c r="F23" s="7" t="s">
        <v>148</v>
      </c>
      <c r="G23" s="7">
        <v>193</v>
      </c>
      <c r="H23" s="8">
        <v>84.3</v>
      </c>
      <c r="I23" s="7" t="s">
        <v>23</v>
      </c>
      <c r="J23" s="7" t="s">
        <v>81</v>
      </c>
      <c r="K23" s="7" t="s">
        <v>25</v>
      </c>
      <c r="L23" s="7" t="s">
        <v>26</v>
      </c>
      <c r="M23" s="7" t="s">
        <v>49</v>
      </c>
      <c r="N23" s="7" t="s">
        <v>149</v>
      </c>
      <c r="O23" s="7" t="s">
        <v>42</v>
      </c>
      <c r="P23" s="7" t="s">
        <v>30</v>
      </c>
      <c r="Q23" s="7" t="s">
        <v>31</v>
      </c>
      <c r="R23" s="7" t="s">
        <v>136</v>
      </c>
      <c r="S23" s="9" t="s">
        <v>137</v>
      </c>
      <c r="T23" s="9">
        <v>1</v>
      </c>
      <c r="U23" s="12">
        <v>9419</v>
      </c>
      <c r="V23">
        <v>4</v>
      </c>
      <c r="W23" s="12">
        <v>91689</v>
      </c>
    </row>
    <row r="24" spans="1:23" x14ac:dyDescent="0.3">
      <c r="A24">
        <v>23</v>
      </c>
      <c r="B24" s="7" t="s">
        <v>61</v>
      </c>
      <c r="C24" s="7" t="s">
        <v>150</v>
      </c>
      <c r="D24" s="7" t="s">
        <v>151</v>
      </c>
      <c r="E24" s="6">
        <v>20437</v>
      </c>
      <c r="F24" s="7" t="s">
        <v>72</v>
      </c>
      <c r="G24" s="7">
        <v>164</v>
      </c>
      <c r="H24" s="8">
        <v>66.8</v>
      </c>
      <c r="I24" s="7" t="s">
        <v>64</v>
      </c>
      <c r="J24" s="7" t="s">
        <v>92</v>
      </c>
      <c r="K24" s="7" t="s">
        <v>66</v>
      </c>
      <c r="L24" s="7" t="s">
        <v>82</v>
      </c>
      <c r="M24" s="7" t="s">
        <v>49</v>
      </c>
      <c r="N24" s="7" t="s">
        <v>152</v>
      </c>
      <c r="O24" s="7" t="s">
        <v>78</v>
      </c>
      <c r="P24" s="7" t="s">
        <v>30</v>
      </c>
      <c r="Q24" s="7" t="s">
        <v>31</v>
      </c>
      <c r="R24" s="7" t="s">
        <v>136</v>
      </c>
      <c r="S24" s="9" t="s">
        <v>137</v>
      </c>
      <c r="T24" s="9">
        <v>3</v>
      </c>
      <c r="U24" s="12">
        <v>1173</v>
      </c>
      <c r="V24">
        <v>3</v>
      </c>
      <c r="W24" s="12">
        <v>88569</v>
      </c>
    </row>
    <row r="25" spans="1:23" x14ac:dyDescent="0.3">
      <c r="A25">
        <v>24</v>
      </c>
      <c r="B25" s="7" t="s">
        <v>61</v>
      </c>
      <c r="C25" s="7" t="s">
        <v>153</v>
      </c>
      <c r="D25" s="7" t="s">
        <v>154</v>
      </c>
      <c r="E25" s="6">
        <v>36400</v>
      </c>
      <c r="F25" s="7" t="s">
        <v>110</v>
      </c>
      <c r="G25" s="7">
        <v>206</v>
      </c>
      <c r="H25" s="8">
        <v>59.4</v>
      </c>
      <c r="I25" s="7" t="s">
        <v>47</v>
      </c>
      <c r="J25" s="7" t="s">
        <v>65</v>
      </c>
      <c r="K25" s="7" t="s">
        <v>48</v>
      </c>
      <c r="L25" s="7" t="s">
        <v>40</v>
      </c>
      <c r="M25" s="7" t="s">
        <v>49</v>
      </c>
      <c r="N25" s="7" t="s">
        <v>155</v>
      </c>
      <c r="O25" s="7" t="s">
        <v>29</v>
      </c>
      <c r="P25" s="7" t="s">
        <v>30</v>
      </c>
      <c r="Q25" s="7" t="s">
        <v>31</v>
      </c>
      <c r="R25" s="7" t="s">
        <v>136</v>
      </c>
      <c r="S25" s="9" t="s">
        <v>137</v>
      </c>
      <c r="T25" s="9">
        <v>2</v>
      </c>
      <c r="U25" s="12">
        <v>5510</v>
      </c>
      <c r="V25">
        <v>3</v>
      </c>
      <c r="W25" s="12">
        <v>69736</v>
      </c>
    </row>
    <row r="26" spans="1:23" x14ac:dyDescent="0.3">
      <c r="A26">
        <v>25</v>
      </c>
      <c r="B26" s="7" t="s">
        <v>61</v>
      </c>
      <c r="C26" s="7" t="s">
        <v>156</v>
      </c>
      <c r="D26" s="7" t="s">
        <v>157</v>
      </c>
      <c r="E26" s="6">
        <v>24309</v>
      </c>
      <c r="F26" s="7" t="s">
        <v>46</v>
      </c>
      <c r="G26" s="7">
        <v>203</v>
      </c>
      <c r="H26" s="8">
        <v>77.8</v>
      </c>
      <c r="I26" s="7" t="s">
        <v>47</v>
      </c>
      <c r="J26" s="7" t="s">
        <v>81</v>
      </c>
      <c r="K26" s="7" t="s">
        <v>48</v>
      </c>
      <c r="L26" s="7" t="s">
        <v>37</v>
      </c>
      <c r="M26" s="7" t="s">
        <v>49</v>
      </c>
      <c r="N26" s="7" t="s">
        <v>77</v>
      </c>
      <c r="O26" s="7" t="s">
        <v>135</v>
      </c>
      <c r="P26" s="7" t="s">
        <v>30</v>
      </c>
      <c r="Q26" s="7" t="s">
        <v>31</v>
      </c>
      <c r="R26" s="7" t="s">
        <v>136</v>
      </c>
      <c r="S26" s="9" t="s">
        <v>137</v>
      </c>
      <c r="T26" s="9">
        <v>6</v>
      </c>
      <c r="U26" s="12">
        <v>8604</v>
      </c>
      <c r="V26">
        <v>2</v>
      </c>
      <c r="W26" s="12">
        <v>83198</v>
      </c>
    </row>
    <row r="27" spans="1:23" x14ac:dyDescent="0.3">
      <c r="A27">
        <v>26</v>
      </c>
      <c r="B27" s="7" t="s">
        <v>19</v>
      </c>
      <c r="C27" s="7" t="s">
        <v>158</v>
      </c>
      <c r="D27" s="7" t="s">
        <v>159</v>
      </c>
      <c r="E27" s="6">
        <v>28570</v>
      </c>
      <c r="F27" s="7" t="s">
        <v>148</v>
      </c>
      <c r="G27" s="7">
        <v>201</v>
      </c>
      <c r="H27" s="8">
        <v>85.9</v>
      </c>
      <c r="I27" s="7" t="s">
        <v>64</v>
      </c>
      <c r="J27" s="7" t="s">
        <v>160</v>
      </c>
      <c r="K27" s="7" t="s">
        <v>66</v>
      </c>
      <c r="L27" s="7" t="s">
        <v>40</v>
      </c>
      <c r="M27" s="7" t="s">
        <v>27</v>
      </c>
      <c r="N27" s="7" t="s">
        <v>28</v>
      </c>
      <c r="O27" s="7" t="s">
        <v>60</v>
      </c>
      <c r="P27" s="7" t="s">
        <v>30</v>
      </c>
      <c r="Q27" s="7" t="s">
        <v>31</v>
      </c>
      <c r="R27" s="7" t="s">
        <v>136</v>
      </c>
      <c r="S27" s="9" t="s">
        <v>137</v>
      </c>
      <c r="T27" s="9">
        <v>7</v>
      </c>
      <c r="U27" s="12">
        <v>6772</v>
      </c>
      <c r="V27">
        <v>4</v>
      </c>
      <c r="W27" s="12">
        <v>76581</v>
      </c>
    </row>
    <row r="28" spans="1:23" x14ac:dyDescent="0.3">
      <c r="A28">
        <v>27</v>
      </c>
      <c r="B28" s="7" t="s">
        <v>107</v>
      </c>
      <c r="C28" s="7" t="s">
        <v>161</v>
      </c>
      <c r="D28" s="7" t="s">
        <v>162</v>
      </c>
      <c r="E28" s="6">
        <v>25767</v>
      </c>
      <c r="F28" s="7" t="s">
        <v>46</v>
      </c>
      <c r="G28" s="7">
        <v>199</v>
      </c>
      <c r="H28" s="8">
        <v>93.4</v>
      </c>
      <c r="I28" s="7" t="s">
        <v>47</v>
      </c>
      <c r="J28" s="7" t="s">
        <v>160</v>
      </c>
      <c r="K28" s="7" t="s">
        <v>48</v>
      </c>
      <c r="L28" s="7" t="s">
        <v>26</v>
      </c>
      <c r="M28" s="7" t="s">
        <v>27</v>
      </c>
      <c r="N28" s="7" t="s">
        <v>163</v>
      </c>
      <c r="O28" s="7" t="s">
        <v>106</v>
      </c>
      <c r="P28" s="7" t="s">
        <v>52</v>
      </c>
      <c r="Q28" s="7" t="s">
        <v>115</v>
      </c>
      <c r="R28" s="7" t="s">
        <v>164</v>
      </c>
      <c r="S28" s="9" t="s">
        <v>165</v>
      </c>
      <c r="T28" s="9">
        <v>4</v>
      </c>
      <c r="U28" s="12">
        <v>3357</v>
      </c>
      <c r="V28">
        <v>1</v>
      </c>
      <c r="W28" s="12">
        <v>64418</v>
      </c>
    </row>
    <row r="29" spans="1:23" x14ac:dyDescent="0.3">
      <c r="A29">
        <v>28</v>
      </c>
      <c r="B29" s="7" t="s">
        <v>107</v>
      </c>
      <c r="C29" s="7" t="s">
        <v>166</v>
      </c>
      <c r="D29" s="7" t="s">
        <v>167</v>
      </c>
      <c r="E29" s="6">
        <v>30020</v>
      </c>
      <c r="F29" s="7" t="s">
        <v>121</v>
      </c>
      <c r="G29" s="7">
        <v>174</v>
      </c>
      <c r="H29" s="8">
        <v>95.5</v>
      </c>
      <c r="I29" s="7" t="s">
        <v>111</v>
      </c>
      <c r="J29" s="7" t="s">
        <v>38</v>
      </c>
      <c r="K29" s="7" t="s">
        <v>112</v>
      </c>
      <c r="L29" s="7" t="s">
        <v>168</v>
      </c>
      <c r="M29" s="7" t="s">
        <v>49</v>
      </c>
      <c r="N29" s="7" t="s">
        <v>105</v>
      </c>
      <c r="O29" s="7" t="s">
        <v>51</v>
      </c>
      <c r="P29" s="7" t="s">
        <v>52</v>
      </c>
      <c r="Q29" s="7" t="s">
        <v>115</v>
      </c>
      <c r="R29" s="7" t="s">
        <v>164</v>
      </c>
      <c r="S29" s="9" t="s">
        <v>165</v>
      </c>
      <c r="T29" s="9">
        <v>1</v>
      </c>
      <c r="U29" s="12">
        <v>4920</v>
      </c>
      <c r="V29">
        <v>3</v>
      </c>
      <c r="W29" s="12">
        <v>83146</v>
      </c>
    </row>
    <row r="30" spans="1:23" x14ac:dyDescent="0.3">
      <c r="A30">
        <v>29</v>
      </c>
      <c r="B30" s="7" t="s">
        <v>118</v>
      </c>
      <c r="C30" s="7" t="s">
        <v>169</v>
      </c>
      <c r="D30" s="7" t="s">
        <v>170</v>
      </c>
      <c r="E30" s="6">
        <v>34361</v>
      </c>
      <c r="F30" s="7" t="s">
        <v>36</v>
      </c>
      <c r="G30" s="7">
        <v>206</v>
      </c>
      <c r="H30" s="8">
        <v>52.2</v>
      </c>
      <c r="I30" s="7" t="s">
        <v>64</v>
      </c>
      <c r="J30" s="7" t="s">
        <v>92</v>
      </c>
      <c r="K30" s="7" t="s">
        <v>66</v>
      </c>
      <c r="L30" s="7" t="s">
        <v>40</v>
      </c>
      <c r="M30" s="7" t="s">
        <v>49</v>
      </c>
      <c r="N30" s="7" t="s">
        <v>77</v>
      </c>
      <c r="O30" s="7" t="s">
        <v>114</v>
      </c>
      <c r="P30" s="7" t="s">
        <v>30</v>
      </c>
      <c r="Q30" s="7" t="s">
        <v>115</v>
      </c>
      <c r="R30" s="7" t="s">
        <v>164</v>
      </c>
      <c r="S30" s="9" t="s">
        <v>165</v>
      </c>
      <c r="T30" s="9">
        <v>1</v>
      </c>
      <c r="U30" s="12">
        <v>7885</v>
      </c>
      <c r="V30">
        <v>3</v>
      </c>
      <c r="W30" s="12">
        <v>95900</v>
      </c>
    </row>
    <row r="31" spans="1:23" x14ac:dyDescent="0.3">
      <c r="A31">
        <v>30</v>
      </c>
      <c r="B31" s="7" t="s">
        <v>171</v>
      </c>
      <c r="C31" s="7" t="s">
        <v>172</v>
      </c>
      <c r="D31" s="7" t="s">
        <v>173</v>
      </c>
      <c r="E31" s="6">
        <v>29137</v>
      </c>
      <c r="F31" s="7" t="s">
        <v>22</v>
      </c>
      <c r="G31" s="7">
        <v>147</v>
      </c>
      <c r="H31" s="8">
        <v>74.599999999999994</v>
      </c>
      <c r="I31" s="7" t="s">
        <v>64</v>
      </c>
      <c r="J31" s="7" t="s">
        <v>160</v>
      </c>
      <c r="K31" s="7" t="s">
        <v>66</v>
      </c>
      <c r="L31" s="7" t="s">
        <v>37</v>
      </c>
      <c r="M31" s="7" t="s">
        <v>49</v>
      </c>
      <c r="N31" s="7" t="s">
        <v>174</v>
      </c>
      <c r="O31" s="7" t="s">
        <v>98</v>
      </c>
      <c r="P31" s="7" t="s">
        <v>30</v>
      </c>
      <c r="Q31" s="7" t="s">
        <v>175</v>
      </c>
      <c r="R31" s="7" t="s">
        <v>176</v>
      </c>
      <c r="S31" s="9" t="s">
        <v>177</v>
      </c>
      <c r="T31" s="9">
        <v>2</v>
      </c>
      <c r="U31" s="12">
        <v>3586</v>
      </c>
      <c r="V31">
        <v>4</v>
      </c>
      <c r="W31" s="12">
        <v>70324</v>
      </c>
    </row>
    <row r="32" spans="1:23" x14ac:dyDescent="0.3">
      <c r="A32">
        <v>31</v>
      </c>
      <c r="B32" s="7" t="s">
        <v>171</v>
      </c>
      <c r="C32" s="7" t="s">
        <v>178</v>
      </c>
      <c r="D32" s="7" t="s">
        <v>179</v>
      </c>
      <c r="E32" s="6">
        <v>32867</v>
      </c>
      <c r="F32" s="7" t="s">
        <v>140</v>
      </c>
      <c r="G32" s="7">
        <v>180</v>
      </c>
      <c r="H32" s="8">
        <v>81.7</v>
      </c>
      <c r="I32" s="7" t="s">
        <v>47</v>
      </c>
      <c r="J32" s="7" t="s">
        <v>38</v>
      </c>
      <c r="K32" s="7" t="s">
        <v>48</v>
      </c>
      <c r="L32" s="7" t="s">
        <v>168</v>
      </c>
      <c r="M32" s="7" t="s">
        <v>27</v>
      </c>
      <c r="N32" s="7" t="s">
        <v>163</v>
      </c>
      <c r="O32" s="7" t="s">
        <v>60</v>
      </c>
      <c r="P32" s="7" t="s">
        <v>30</v>
      </c>
      <c r="Q32" s="7" t="s">
        <v>175</v>
      </c>
      <c r="R32" s="7" t="s">
        <v>176</v>
      </c>
      <c r="S32" s="9" t="s">
        <v>177</v>
      </c>
      <c r="T32" s="9">
        <v>6</v>
      </c>
      <c r="U32" s="12">
        <v>1602</v>
      </c>
      <c r="V32">
        <v>2</v>
      </c>
      <c r="W32" s="12">
        <v>37617</v>
      </c>
    </row>
    <row r="33" spans="1:23" x14ac:dyDescent="0.3">
      <c r="A33">
        <v>32</v>
      </c>
      <c r="B33" s="7" t="s">
        <v>171</v>
      </c>
      <c r="C33" s="7" t="s">
        <v>180</v>
      </c>
      <c r="D33" s="7" t="s">
        <v>181</v>
      </c>
      <c r="E33" s="6">
        <v>25925</v>
      </c>
      <c r="F33" s="7" t="s">
        <v>140</v>
      </c>
      <c r="G33" s="7">
        <v>181</v>
      </c>
      <c r="H33" s="8">
        <v>78.099999999999994</v>
      </c>
      <c r="I33" s="7" t="s">
        <v>64</v>
      </c>
      <c r="J33" s="7" t="s">
        <v>92</v>
      </c>
      <c r="K33" s="7" t="s">
        <v>66</v>
      </c>
      <c r="L33" s="7" t="s">
        <v>37</v>
      </c>
      <c r="M33" s="7" t="s">
        <v>49</v>
      </c>
      <c r="N33" s="7" t="s">
        <v>152</v>
      </c>
      <c r="O33" s="7" t="s">
        <v>182</v>
      </c>
      <c r="P33" s="7" t="s">
        <v>30</v>
      </c>
      <c r="Q33" s="7" t="s">
        <v>175</v>
      </c>
      <c r="R33" s="7" t="s">
        <v>176</v>
      </c>
      <c r="S33" s="9" t="s">
        <v>177</v>
      </c>
      <c r="T33" s="9">
        <v>5</v>
      </c>
      <c r="U33" s="12">
        <v>8713</v>
      </c>
      <c r="V33">
        <v>3</v>
      </c>
      <c r="W33" s="12">
        <v>82674</v>
      </c>
    </row>
    <row r="34" spans="1:23" x14ac:dyDescent="0.3">
      <c r="A34">
        <v>33</v>
      </c>
      <c r="B34" s="7" t="s">
        <v>183</v>
      </c>
      <c r="C34" s="7" t="s">
        <v>184</v>
      </c>
      <c r="D34" s="7" t="s">
        <v>185</v>
      </c>
      <c r="E34" s="6">
        <v>29529</v>
      </c>
      <c r="F34" s="7" t="s">
        <v>96</v>
      </c>
      <c r="G34" s="7">
        <v>149</v>
      </c>
      <c r="H34" s="8">
        <v>57.1</v>
      </c>
      <c r="I34" s="7" t="s">
        <v>23</v>
      </c>
      <c r="J34" s="7" t="s">
        <v>92</v>
      </c>
      <c r="K34" s="7" t="s">
        <v>25</v>
      </c>
      <c r="L34" s="7" t="s">
        <v>40</v>
      </c>
      <c r="M34" s="7" t="s">
        <v>27</v>
      </c>
      <c r="N34" s="7" t="s">
        <v>186</v>
      </c>
      <c r="O34" s="7" t="s">
        <v>68</v>
      </c>
      <c r="P34" s="7" t="s">
        <v>52</v>
      </c>
      <c r="Q34" s="7" t="s">
        <v>175</v>
      </c>
      <c r="R34" s="7" t="s">
        <v>176</v>
      </c>
      <c r="S34" s="9" t="s">
        <v>177</v>
      </c>
      <c r="T34" s="9">
        <v>3</v>
      </c>
      <c r="U34" s="12">
        <v>5889</v>
      </c>
      <c r="V34">
        <v>2</v>
      </c>
      <c r="W34" s="12">
        <v>49626</v>
      </c>
    </row>
    <row r="35" spans="1:23" x14ac:dyDescent="0.3">
      <c r="A35">
        <v>34</v>
      </c>
      <c r="B35" s="7" t="s">
        <v>183</v>
      </c>
      <c r="C35" s="7" t="s">
        <v>187</v>
      </c>
      <c r="D35" s="7" t="s">
        <v>188</v>
      </c>
      <c r="E35" s="6">
        <v>29875</v>
      </c>
      <c r="F35" s="7" t="s">
        <v>22</v>
      </c>
      <c r="G35" s="7">
        <v>146</v>
      </c>
      <c r="H35" s="8">
        <v>56</v>
      </c>
      <c r="I35" s="7" t="s">
        <v>64</v>
      </c>
      <c r="J35" s="7" t="s">
        <v>160</v>
      </c>
      <c r="K35" s="7" t="s">
        <v>66</v>
      </c>
      <c r="L35" s="7" t="s">
        <v>37</v>
      </c>
      <c r="M35" s="7" t="s">
        <v>49</v>
      </c>
      <c r="N35" s="7" t="s">
        <v>145</v>
      </c>
      <c r="O35" s="7" t="s">
        <v>131</v>
      </c>
      <c r="P35" s="7" t="s">
        <v>52</v>
      </c>
      <c r="Q35" s="7" t="s">
        <v>175</v>
      </c>
      <c r="R35" s="7" t="s">
        <v>176</v>
      </c>
      <c r="S35" s="9" t="s">
        <v>177</v>
      </c>
      <c r="T35" s="9">
        <v>4</v>
      </c>
      <c r="U35" s="12">
        <v>3050</v>
      </c>
      <c r="V35">
        <v>3</v>
      </c>
      <c r="W35" s="12">
        <v>50750</v>
      </c>
    </row>
    <row r="36" spans="1:23" x14ac:dyDescent="0.3">
      <c r="A36">
        <v>35</v>
      </c>
      <c r="B36" s="7" t="s">
        <v>183</v>
      </c>
      <c r="C36" s="7" t="s">
        <v>189</v>
      </c>
      <c r="D36" s="7" t="s">
        <v>188</v>
      </c>
      <c r="E36" s="6">
        <v>20300</v>
      </c>
      <c r="F36" s="7" t="s">
        <v>76</v>
      </c>
      <c r="G36" s="7">
        <v>189</v>
      </c>
      <c r="H36" s="8">
        <v>88.6</v>
      </c>
      <c r="I36" s="7" t="s">
        <v>47</v>
      </c>
      <c r="J36" s="7" t="s">
        <v>92</v>
      </c>
      <c r="K36" s="7" t="s">
        <v>48</v>
      </c>
      <c r="L36" s="7" t="s">
        <v>37</v>
      </c>
      <c r="M36" s="7" t="s">
        <v>49</v>
      </c>
      <c r="N36" s="7" t="s">
        <v>190</v>
      </c>
      <c r="O36" s="7" t="s">
        <v>60</v>
      </c>
      <c r="P36" s="7" t="s">
        <v>52</v>
      </c>
      <c r="Q36" s="7" t="s">
        <v>175</v>
      </c>
      <c r="R36" s="7" t="s">
        <v>176</v>
      </c>
      <c r="S36" s="9" t="s">
        <v>177</v>
      </c>
      <c r="T36" s="9">
        <v>1</v>
      </c>
      <c r="U36" s="12">
        <v>3498</v>
      </c>
      <c r="V36">
        <v>3</v>
      </c>
      <c r="W36" s="12">
        <v>57255</v>
      </c>
    </row>
    <row r="37" spans="1:23" x14ac:dyDescent="0.3">
      <c r="A37">
        <v>36</v>
      </c>
      <c r="B37" s="7" t="s">
        <v>183</v>
      </c>
      <c r="C37" s="7" t="s">
        <v>191</v>
      </c>
      <c r="D37" s="7" t="s">
        <v>192</v>
      </c>
      <c r="E37" s="6">
        <v>27428</v>
      </c>
      <c r="F37" s="7" t="s">
        <v>36</v>
      </c>
      <c r="G37" s="7">
        <v>155</v>
      </c>
      <c r="H37" s="8">
        <v>78.2</v>
      </c>
      <c r="I37" s="7" t="s">
        <v>37</v>
      </c>
      <c r="J37" s="7" t="s">
        <v>38</v>
      </c>
      <c r="K37" s="7" t="s">
        <v>39</v>
      </c>
      <c r="L37" s="7" t="s">
        <v>82</v>
      </c>
      <c r="M37" s="7" t="s">
        <v>49</v>
      </c>
      <c r="N37" s="7" t="s">
        <v>145</v>
      </c>
      <c r="O37" s="7" t="s">
        <v>84</v>
      </c>
      <c r="P37" s="7" t="s">
        <v>52</v>
      </c>
      <c r="Q37" s="7" t="s">
        <v>175</v>
      </c>
      <c r="R37" s="7" t="s">
        <v>176</v>
      </c>
      <c r="S37" s="9" t="s">
        <v>177</v>
      </c>
      <c r="T37" s="9">
        <v>4</v>
      </c>
      <c r="U37" s="12">
        <v>7913</v>
      </c>
      <c r="V37">
        <v>5</v>
      </c>
      <c r="W37" s="12">
        <v>70172</v>
      </c>
    </row>
    <row r="38" spans="1:23" x14ac:dyDescent="0.3">
      <c r="A38">
        <v>37</v>
      </c>
      <c r="B38" s="7" t="s">
        <v>183</v>
      </c>
      <c r="C38" s="7" t="s">
        <v>193</v>
      </c>
      <c r="D38" s="7" t="s">
        <v>194</v>
      </c>
      <c r="E38" s="6">
        <v>31585</v>
      </c>
      <c r="F38" s="7" t="s">
        <v>46</v>
      </c>
      <c r="G38" s="7">
        <v>197</v>
      </c>
      <c r="H38" s="8">
        <v>95.8</v>
      </c>
      <c r="I38" s="7" t="s">
        <v>64</v>
      </c>
      <c r="J38" s="7" t="s">
        <v>65</v>
      </c>
      <c r="K38" s="7" t="s">
        <v>66</v>
      </c>
      <c r="L38" s="7" t="s">
        <v>37</v>
      </c>
      <c r="M38" s="7" t="s">
        <v>49</v>
      </c>
      <c r="N38" s="7" t="s">
        <v>195</v>
      </c>
      <c r="O38" s="7" t="s">
        <v>78</v>
      </c>
      <c r="P38" s="7" t="s">
        <v>52</v>
      </c>
      <c r="Q38" s="7" t="s">
        <v>175</v>
      </c>
      <c r="R38" s="7" t="s">
        <v>176</v>
      </c>
      <c r="S38" s="9" t="s">
        <v>177</v>
      </c>
      <c r="T38" s="9">
        <v>3</v>
      </c>
      <c r="U38" s="12">
        <v>6148</v>
      </c>
      <c r="V38">
        <v>1</v>
      </c>
      <c r="W38" s="12">
        <v>55006</v>
      </c>
    </row>
    <row r="39" spans="1:23" x14ac:dyDescent="0.3">
      <c r="A39">
        <v>38</v>
      </c>
      <c r="B39" s="7" t="s">
        <v>183</v>
      </c>
      <c r="C39" s="7" t="s">
        <v>196</v>
      </c>
      <c r="D39" s="7" t="s">
        <v>197</v>
      </c>
      <c r="E39" s="6">
        <v>30327</v>
      </c>
      <c r="F39" s="7" t="s">
        <v>140</v>
      </c>
      <c r="G39" s="7">
        <v>179</v>
      </c>
      <c r="H39" s="8">
        <v>59.7</v>
      </c>
      <c r="I39" s="7" t="s">
        <v>111</v>
      </c>
      <c r="J39" s="7" t="s">
        <v>38</v>
      </c>
      <c r="K39" s="7" t="s">
        <v>112</v>
      </c>
      <c r="L39" s="7" t="s">
        <v>40</v>
      </c>
      <c r="M39" s="7" t="s">
        <v>27</v>
      </c>
      <c r="N39" s="7" t="s">
        <v>28</v>
      </c>
      <c r="O39" s="7" t="s">
        <v>135</v>
      </c>
      <c r="P39" s="7" t="s">
        <v>52</v>
      </c>
      <c r="Q39" s="7" t="s">
        <v>175</v>
      </c>
      <c r="R39" s="7" t="s">
        <v>176</v>
      </c>
      <c r="S39" s="9" t="s">
        <v>177</v>
      </c>
      <c r="T39" s="9">
        <v>2</v>
      </c>
      <c r="U39" s="12">
        <v>4840</v>
      </c>
      <c r="V39">
        <v>1</v>
      </c>
      <c r="W39" s="12">
        <v>99140</v>
      </c>
    </row>
    <row r="40" spans="1:23" x14ac:dyDescent="0.3">
      <c r="A40">
        <v>39</v>
      </c>
      <c r="B40" s="7" t="s">
        <v>43</v>
      </c>
      <c r="C40" s="7" t="s">
        <v>198</v>
      </c>
      <c r="D40" s="7" t="s">
        <v>199</v>
      </c>
      <c r="E40" s="6">
        <v>31016</v>
      </c>
      <c r="F40" s="7" t="s">
        <v>72</v>
      </c>
      <c r="G40" s="7">
        <v>196</v>
      </c>
      <c r="H40" s="8">
        <v>77.7</v>
      </c>
      <c r="I40" s="7" t="s">
        <v>111</v>
      </c>
      <c r="J40" s="7" t="s">
        <v>65</v>
      </c>
      <c r="K40" s="7" t="s">
        <v>112</v>
      </c>
      <c r="L40" s="7" t="s">
        <v>26</v>
      </c>
      <c r="M40" s="7" t="s">
        <v>49</v>
      </c>
      <c r="N40" s="7" t="s">
        <v>155</v>
      </c>
      <c r="O40" s="7" t="s">
        <v>200</v>
      </c>
      <c r="P40" s="7" t="s">
        <v>52</v>
      </c>
      <c r="Q40" s="7" t="s">
        <v>201</v>
      </c>
      <c r="R40" s="7" t="s">
        <v>202</v>
      </c>
      <c r="S40" s="9" t="s">
        <v>203</v>
      </c>
      <c r="T40" s="9">
        <v>4</v>
      </c>
      <c r="U40" s="12">
        <v>2563</v>
      </c>
      <c r="V40">
        <v>3</v>
      </c>
      <c r="W40" s="12">
        <v>79454</v>
      </c>
    </row>
    <row r="41" spans="1:23" x14ac:dyDescent="0.3">
      <c r="A41">
        <v>40</v>
      </c>
      <c r="B41" s="7" t="s">
        <v>43</v>
      </c>
      <c r="C41" s="7" t="s">
        <v>204</v>
      </c>
      <c r="D41" s="7" t="s">
        <v>205</v>
      </c>
      <c r="E41" s="6">
        <v>32314</v>
      </c>
      <c r="F41" s="7" t="s">
        <v>206</v>
      </c>
      <c r="G41" s="7">
        <v>159</v>
      </c>
      <c r="H41" s="8">
        <v>98</v>
      </c>
      <c r="I41" s="7" t="s">
        <v>64</v>
      </c>
      <c r="J41" s="7" t="s">
        <v>24</v>
      </c>
      <c r="K41" s="7" t="s">
        <v>66</v>
      </c>
      <c r="L41" s="7" t="s">
        <v>26</v>
      </c>
      <c r="M41" s="7" t="s">
        <v>49</v>
      </c>
      <c r="N41" s="7" t="s">
        <v>152</v>
      </c>
      <c r="O41" s="7" t="s">
        <v>78</v>
      </c>
      <c r="P41" s="7" t="s">
        <v>52</v>
      </c>
      <c r="Q41" s="7" t="s">
        <v>201</v>
      </c>
      <c r="R41" s="7" t="s">
        <v>202</v>
      </c>
      <c r="S41" s="9" t="s">
        <v>203</v>
      </c>
      <c r="T41" s="9">
        <v>6</v>
      </c>
      <c r="U41" s="12">
        <v>272</v>
      </c>
      <c r="V41">
        <v>1</v>
      </c>
      <c r="W41" s="12">
        <v>94214</v>
      </c>
    </row>
    <row r="42" spans="1:23" x14ac:dyDescent="0.3">
      <c r="A42">
        <v>41</v>
      </c>
      <c r="B42" s="7" t="s">
        <v>207</v>
      </c>
      <c r="C42" s="7" t="s">
        <v>208</v>
      </c>
      <c r="D42" s="7" t="s">
        <v>209</v>
      </c>
      <c r="E42" s="6">
        <v>27076</v>
      </c>
      <c r="F42" s="7" t="s">
        <v>36</v>
      </c>
      <c r="G42" s="7">
        <v>154</v>
      </c>
      <c r="H42" s="8">
        <v>51.9</v>
      </c>
      <c r="I42" s="7" t="s">
        <v>47</v>
      </c>
      <c r="J42" s="7" t="s">
        <v>38</v>
      </c>
      <c r="K42" s="7" t="s">
        <v>48</v>
      </c>
      <c r="L42" s="7" t="s">
        <v>82</v>
      </c>
      <c r="M42" s="7" t="s">
        <v>49</v>
      </c>
      <c r="N42" s="7" t="s">
        <v>210</v>
      </c>
      <c r="O42" s="7" t="s">
        <v>135</v>
      </c>
      <c r="P42" s="7" t="s">
        <v>30</v>
      </c>
      <c r="Q42" s="7" t="s">
        <v>201</v>
      </c>
      <c r="R42" s="7" t="s">
        <v>202</v>
      </c>
      <c r="S42" s="9" t="s">
        <v>203</v>
      </c>
      <c r="T42" s="9">
        <v>7</v>
      </c>
      <c r="U42" s="12">
        <v>4314</v>
      </c>
      <c r="V42">
        <v>2</v>
      </c>
      <c r="W42" s="12">
        <v>42651</v>
      </c>
    </row>
    <row r="43" spans="1:23" x14ac:dyDescent="0.3">
      <c r="A43">
        <v>42</v>
      </c>
      <c r="B43" s="7" t="s">
        <v>207</v>
      </c>
      <c r="C43" s="7" t="s">
        <v>211</v>
      </c>
      <c r="D43" s="7" t="s">
        <v>212</v>
      </c>
      <c r="E43" s="6">
        <v>32941</v>
      </c>
      <c r="F43" s="7" t="s">
        <v>121</v>
      </c>
      <c r="G43" s="7">
        <v>185</v>
      </c>
      <c r="H43" s="8">
        <v>55.6</v>
      </c>
      <c r="I43" s="7" t="s">
        <v>37</v>
      </c>
      <c r="J43" s="7" t="s">
        <v>92</v>
      </c>
      <c r="K43" s="7" t="s">
        <v>39</v>
      </c>
      <c r="L43" s="7" t="s">
        <v>40</v>
      </c>
      <c r="M43" s="7" t="s">
        <v>27</v>
      </c>
      <c r="N43" s="7" t="s">
        <v>213</v>
      </c>
      <c r="O43" s="7" t="s">
        <v>42</v>
      </c>
      <c r="P43" s="7" t="s">
        <v>30</v>
      </c>
      <c r="Q43" s="7" t="s">
        <v>201</v>
      </c>
      <c r="R43" s="7" t="s">
        <v>214</v>
      </c>
      <c r="S43" s="9" t="s">
        <v>215</v>
      </c>
      <c r="T43" s="9">
        <v>3</v>
      </c>
      <c r="U43" s="12">
        <v>6336</v>
      </c>
      <c r="V43">
        <v>5</v>
      </c>
      <c r="W43" s="12">
        <v>86414</v>
      </c>
    </row>
    <row r="44" spans="1:23" x14ac:dyDescent="0.3">
      <c r="A44">
        <v>43</v>
      </c>
      <c r="B44" s="7" t="s">
        <v>207</v>
      </c>
      <c r="C44" s="7" t="s">
        <v>158</v>
      </c>
      <c r="D44" s="7" t="s">
        <v>216</v>
      </c>
      <c r="E44" s="6">
        <v>21927</v>
      </c>
      <c r="F44" s="7" t="s">
        <v>140</v>
      </c>
      <c r="G44" s="7">
        <v>178</v>
      </c>
      <c r="H44" s="8">
        <v>102.3</v>
      </c>
      <c r="I44" s="7" t="s">
        <v>47</v>
      </c>
      <c r="J44" s="7" t="s">
        <v>92</v>
      </c>
      <c r="K44" s="7" t="s">
        <v>48</v>
      </c>
      <c r="L44" s="7" t="s">
        <v>37</v>
      </c>
      <c r="M44" s="7" t="s">
        <v>49</v>
      </c>
      <c r="N44" s="7" t="s">
        <v>155</v>
      </c>
      <c r="O44" s="7" t="s">
        <v>68</v>
      </c>
      <c r="P44" s="7" t="s">
        <v>30</v>
      </c>
      <c r="Q44" s="7" t="s">
        <v>201</v>
      </c>
      <c r="R44" s="7" t="s">
        <v>214</v>
      </c>
      <c r="S44" s="9" t="s">
        <v>215</v>
      </c>
      <c r="T44" s="9">
        <v>3</v>
      </c>
      <c r="U44" s="12">
        <v>7093</v>
      </c>
      <c r="V44">
        <v>2</v>
      </c>
      <c r="W44" s="12">
        <v>93336</v>
      </c>
    </row>
    <row r="45" spans="1:23" x14ac:dyDescent="0.3">
      <c r="A45">
        <v>44</v>
      </c>
      <c r="B45" s="7" t="s">
        <v>207</v>
      </c>
      <c r="C45" s="7" t="s">
        <v>217</v>
      </c>
      <c r="D45" s="7" t="s">
        <v>218</v>
      </c>
      <c r="E45" s="6">
        <v>23952</v>
      </c>
      <c r="F45" s="7" t="s">
        <v>76</v>
      </c>
      <c r="G45" s="7">
        <v>187</v>
      </c>
      <c r="H45" s="8">
        <v>58.8</v>
      </c>
      <c r="I45" s="7" t="s">
        <v>111</v>
      </c>
      <c r="J45" s="7" t="s">
        <v>38</v>
      </c>
      <c r="K45" s="7" t="s">
        <v>112</v>
      </c>
      <c r="L45" s="7" t="s">
        <v>37</v>
      </c>
      <c r="M45" s="7" t="s">
        <v>49</v>
      </c>
      <c r="N45" s="7" t="s">
        <v>210</v>
      </c>
      <c r="O45" s="7" t="s">
        <v>142</v>
      </c>
      <c r="P45" s="7" t="s">
        <v>30</v>
      </c>
      <c r="Q45" s="7" t="s">
        <v>201</v>
      </c>
      <c r="R45" s="7" t="s">
        <v>214</v>
      </c>
      <c r="S45" s="9" t="s">
        <v>215</v>
      </c>
      <c r="T45" s="9">
        <v>7</v>
      </c>
      <c r="U45" s="12">
        <v>994</v>
      </c>
      <c r="V45">
        <v>1</v>
      </c>
      <c r="W45" s="12">
        <v>41511</v>
      </c>
    </row>
    <row r="46" spans="1:23" x14ac:dyDescent="0.3">
      <c r="A46">
        <v>45</v>
      </c>
      <c r="B46" s="7" t="s">
        <v>219</v>
      </c>
      <c r="C46" s="7" t="s">
        <v>220</v>
      </c>
      <c r="D46" s="7" t="s">
        <v>221</v>
      </c>
      <c r="E46" s="6">
        <v>22044</v>
      </c>
      <c r="F46" s="7" t="s">
        <v>58</v>
      </c>
      <c r="G46" s="7">
        <v>160</v>
      </c>
      <c r="H46" s="8">
        <v>63.8</v>
      </c>
      <c r="I46" s="7" t="s">
        <v>64</v>
      </c>
      <c r="J46" s="7" t="s">
        <v>92</v>
      </c>
      <c r="K46" s="7" t="s">
        <v>66</v>
      </c>
      <c r="L46" s="7" t="s">
        <v>37</v>
      </c>
      <c r="M46" s="7" t="s">
        <v>27</v>
      </c>
      <c r="N46" s="7" t="s">
        <v>222</v>
      </c>
      <c r="O46" s="7" t="s">
        <v>223</v>
      </c>
      <c r="P46" s="7" t="s">
        <v>30</v>
      </c>
      <c r="Q46" s="7" t="s">
        <v>224</v>
      </c>
      <c r="R46" s="7" t="s">
        <v>225</v>
      </c>
      <c r="S46" s="9" t="s">
        <v>226</v>
      </c>
      <c r="T46" s="9">
        <v>4</v>
      </c>
      <c r="U46" s="12">
        <v>1869</v>
      </c>
      <c r="V46">
        <v>2</v>
      </c>
      <c r="W46" s="12">
        <v>50482</v>
      </c>
    </row>
    <row r="47" spans="1:23" x14ac:dyDescent="0.3">
      <c r="A47">
        <v>46</v>
      </c>
      <c r="B47" s="7" t="s">
        <v>227</v>
      </c>
      <c r="C47" s="7" t="s">
        <v>228</v>
      </c>
      <c r="D47" s="7" t="s">
        <v>229</v>
      </c>
      <c r="E47" s="6">
        <v>26940</v>
      </c>
      <c r="F47" s="7" t="s">
        <v>22</v>
      </c>
      <c r="G47" s="7">
        <v>172</v>
      </c>
      <c r="H47" s="8">
        <v>98.6</v>
      </c>
      <c r="I47" s="7" t="s">
        <v>47</v>
      </c>
      <c r="J47" s="7" t="s">
        <v>160</v>
      </c>
      <c r="K47" s="7" t="s">
        <v>48</v>
      </c>
      <c r="L47" s="7" t="s">
        <v>82</v>
      </c>
      <c r="M47" s="7" t="s">
        <v>49</v>
      </c>
      <c r="N47" s="7" t="s">
        <v>152</v>
      </c>
      <c r="O47" s="7" t="s">
        <v>230</v>
      </c>
      <c r="P47" s="7" t="s">
        <v>52</v>
      </c>
      <c r="Q47" s="7" t="s">
        <v>224</v>
      </c>
      <c r="R47" s="7" t="s">
        <v>225</v>
      </c>
      <c r="S47" s="9" t="s">
        <v>226</v>
      </c>
      <c r="T47" s="9">
        <v>5</v>
      </c>
      <c r="U47" s="12">
        <v>1053</v>
      </c>
      <c r="V47">
        <v>4</v>
      </c>
      <c r="W47" s="12">
        <v>57409</v>
      </c>
    </row>
    <row r="48" spans="1:23" x14ac:dyDescent="0.3">
      <c r="A48">
        <v>47</v>
      </c>
      <c r="B48" s="7" t="s">
        <v>231</v>
      </c>
      <c r="C48" s="7" t="s">
        <v>232</v>
      </c>
      <c r="D48" s="7" t="s">
        <v>233</v>
      </c>
      <c r="E48" s="6">
        <v>24936</v>
      </c>
      <c r="F48" s="7" t="s">
        <v>148</v>
      </c>
      <c r="G48" s="7">
        <v>184</v>
      </c>
      <c r="H48" s="8">
        <v>61.8</v>
      </c>
      <c r="I48" s="7" t="s">
        <v>111</v>
      </c>
      <c r="J48" s="7" t="s">
        <v>38</v>
      </c>
      <c r="K48" s="7" t="s">
        <v>112</v>
      </c>
      <c r="L48" s="7" t="s">
        <v>37</v>
      </c>
      <c r="M48" s="7" t="s">
        <v>49</v>
      </c>
      <c r="N48" s="7" t="s">
        <v>152</v>
      </c>
      <c r="O48" s="7" t="s">
        <v>234</v>
      </c>
      <c r="P48" s="7" t="s">
        <v>30</v>
      </c>
      <c r="Q48" s="7" t="s">
        <v>224</v>
      </c>
      <c r="R48" s="7" t="s">
        <v>225</v>
      </c>
      <c r="S48" s="9" t="s">
        <v>226</v>
      </c>
      <c r="T48" s="9">
        <v>6</v>
      </c>
      <c r="U48" s="12">
        <v>1636</v>
      </c>
      <c r="V48">
        <v>5</v>
      </c>
      <c r="W48" s="12">
        <v>41140</v>
      </c>
    </row>
    <row r="49" spans="1:23" x14ac:dyDescent="0.3">
      <c r="A49">
        <v>48</v>
      </c>
      <c r="B49" s="7" t="s">
        <v>235</v>
      </c>
      <c r="C49" s="7" t="s">
        <v>236</v>
      </c>
      <c r="D49" s="7" t="s">
        <v>237</v>
      </c>
      <c r="E49" s="6">
        <v>35567</v>
      </c>
      <c r="F49" s="7" t="s">
        <v>58</v>
      </c>
      <c r="G49" s="7">
        <v>158</v>
      </c>
      <c r="H49" s="8">
        <v>50</v>
      </c>
      <c r="I49" s="7" t="s">
        <v>47</v>
      </c>
      <c r="J49" s="7" t="s">
        <v>92</v>
      </c>
      <c r="K49" s="7" t="s">
        <v>48</v>
      </c>
      <c r="L49" s="7" t="s">
        <v>37</v>
      </c>
      <c r="M49" s="7" t="s">
        <v>49</v>
      </c>
      <c r="N49" s="7" t="s">
        <v>50</v>
      </c>
      <c r="O49" s="7" t="s">
        <v>142</v>
      </c>
      <c r="P49" s="7" t="s">
        <v>30</v>
      </c>
      <c r="Q49" s="7" t="s">
        <v>238</v>
      </c>
      <c r="R49" s="7" t="s">
        <v>239</v>
      </c>
      <c r="S49" s="9" t="s">
        <v>240</v>
      </c>
      <c r="T49" s="9">
        <v>1</v>
      </c>
      <c r="U49" s="12">
        <v>2420</v>
      </c>
      <c r="V49">
        <v>2</v>
      </c>
      <c r="W49" s="12">
        <v>96003</v>
      </c>
    </row>
    <row r="50" spans="1:23" x14ac:dyDescent="0.3">
      <c r="A50">
        <v>49</v>
      </c>
      <c r="B50" s="7" t="s">
        <v>241</v>
      </c>
      <c r="C50" s="7" t="s">
        <v>242</v>
      </c>
      <c r="D50" s="7" t="s">
        <v>243</v>
      </c>
      <c r="E50" s="6">
        <v>31832</v>
      </c>
      <c r="F50" s="7" t="s">
        <v>121</v>
      </c>
      <c r="G50" s="7">
        <v>200</v>
      </c>
      <c r="H50" s="8">
        <v>45.9</v>
      </c>
      <c r="I50" s="7" t="s">
        <v>64</v>
      </c>
      <c r="J50" s="7" t="s">
        <v>24</v>
      </c>
      <c r="K50" s="7" t="s">
        <v>66</v>
      </c>
      <c r="L50" s="7" t="s">
        <v>37</v>
      </c>
      <c r="M50" s="7" t="s">
        <v>49</v>
      </c>
      <c r="N50" s="7" t="s">
        <v>244</v>
      </c>
      <c r="O50" s="7" t="s">
        <v>42</v>
      </c>
      <c r="P50" s="7" t="s">
        <v>52</v>
      </c>
      <c r="Q50" s="7" t="s">
        <v>238</v>
      </c>
      <c r="R50" s="7" t="s">
        <v>239</v>
      </c>
      <c r="S50" s="9" t="s">
        <v>240</v>
      </c>
      <c r="T50" s="9">
        <v>7</v>
      </c>
      <c r="U50" s="12">
        <v>1954</v>
      </c>
      <c r="V50">
        <v>1</v>
      </c>
      <c r="W50" s="12">
        <v>54366</v>
      </c>
    </row>
    <row r="51" spans="1:23" x14ac:dyDescent="0.3">
      <c r="A51">
        <v>50</v>
      </c>
      <c r="B51" s="7" t="s">
        <v>43</v>
      </c>
      <c r="C51" s="7" t="s">
        <v>245</v>
      </c>
      <c r="D51" s="7" t="s">
        <v>246</v>
      </c>
      <c r="E51" s="6">
        <v>34178</v>
      </c>
      <c r="F51" s="7" t="s">
        <v>76</v>
      </c>
      <c r="G51" s="7">
        <v>203</v>
      </c>
      <c r="H51" s="8">
        <v>92.5</v>
      </c>
      <c r="I51" s="7" t="s">
        <v>23</v>
      </c>
      <c r="J51" s="7" t="s">
        <v>81</v>
      </c>
      <c r="K51" s="7" t="s">
        <v>25</v>
      </c>
      <c r="L51" s="7" t="s">
        <v>40</v>
      </c>
      <c r="M51" s="7" t="s">
        <v>27</v>
      </c>
      <c r="N51" s="7" t="s">
        <v>247</v>
      </c>
      <c r="O51" s="7" t="s">
        <v>98</v>
      </c>
      <c r="P51" s="7" t="s">
        <v>52</v>
      </c>
      <c r="Q51" s="7" t="s">
        <v>53</v>
      </c>
      <c r="R51" s="7" t="s">
        <v>54</v>
      </c>
      <c r="S51" s="9" t="s">
        <v>248</v>
      </c>
      <c r="T51" s="9">
        <v>6</v>
      </c>
      <c r="U51" s="12">
        <v>4413</v>
      </c>
      <c r="V51">
        <v>3</v>
      </c>
      <c r="W51" s="12">
        <v>86641</v>
      </c>
    </row>
    <row r="52" spans="1:23" x14ac:dyDescent="0.3">
      <c r="B52" s="7"/>
      <c r="C52" s="16" t="s">
        <v>314</v>
      </c>
      <c r="D52" s="7"/>
      <c r="E52" s="6"/>
      <c r="F52" s="7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9"/>
      <c r="T52" s="9"/>
      <c r="U52" s="12">
        <v>4370.0600000000004</v>
      </c>
      <c r="V52">
        <v>2.82</v>
      </c>
      <c r="W5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5C4B-846A-4AFE-BC61-E456E45E5D58}">
  <dimension ref="A1:B12"/>
  <sheetViews>
    <sheetView workbookViewId="0">
      <selection activeCell="F29" sqref="F29"/>
    </sheetView>
  </sheetViews>
  <sheetFormatPr defaultRowHeight="14.4" x14ac:dyDescent="0.3"/>
  <sheetData>
    <row r="1" spans="1:2" x14ac:dyDescent="0.3">
      <c r="A1" t="s">
        <v>251</v>
      </c>
      <c r="B1" t="s">
        <v>249</v>
      </c>
    </row>
    <row r="2" spans="1:2" x14ac:dyDescent="0.3">
      <c r="A2" s="7" t="s">
        <v>32</v>
      </c>
      <c r="B2">
        <v>20</v>
      </c>
    </row>
    <row r="3" spans="1:2" x14ac:dyDescent="0.3">
      <c r="A3" s="7" t="s">
        <v>54</v>
      </c>
      <c r="B3">
        <v>30</v>
      </c>
    </row>
    <row r="4" spans="1:2" x14ac:dyDescent="0.3">
      <c r="A4" s="7" t="s">
        <v>88</v>
      </c>
      <c r="B4">
        <v>40</v>
      </c>
    </row>
    <row r="5" spans="1:2" x14ac:dyDescent="0.3">
      <c r="A5" s="7" t="s">
        <v>116</v>
      </c>
      <c r="B5">
        <v>25</v>
      </c>
    </row>
    <row r="6" spans="1:2" x14ac:dyDescent="0.3">
      <c r="A6" s="7" t="s">
        <v>136</v>
      </c>
      <c r="B6">
        <v>45</v>
      </c>
    </row>
    <row r="7" spans="1:2" x14ac:dyDescent="0.3">
      <c r="A7" s="7" t="s">
        <v>164</v>
      </c>
      <c r="B7">
        <v>35</v>
      </c>
    </row>
    <row r="8" spans="1:2" x14ac:dyDescent="0.3">
      <c r="A8" s="7" t="s">
        <v>176</v>
      </c>
      <c r="B8">
        <v>50</v>
      </c>
    </row>
    <row r="9" spans="1:2" x14ac:dyDescent="0.3">
      <c r="A9" s="7" t="s">
        <v>202</v>
      </c>
      <c r="B9">
        <v>55</v>
      </c>
    </row>
    <row r="10" spans="1:2" x14ac:dyDescent="0.3">
      <c r="A10" s="7" t="s">
        <v>214</v>
      </c>
      <c r="B10">
        <v>60</v>
      </c>
    </row>
    <row r="11" spans="1:2" x14ac:dyDescent="0.3">
      <c r="A11" s="7" t="s">
        <v>225</v>
      </c>
      <c r="B11">
        <v>52.5</v>
      </c>
    </row>
    <row r="12" spans="1:2" x14ac:dyDescent="0.3">
      <c r="A12" s="7" t="s">
        <v>239</v>
      </c>
      <c r="B12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PIV</vt:lpstr>
      <vt:lpstr>Database</vt:lpstr>
      <vt:lpstr>Sheet1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Essary</dc:creator>
  <cp:lastModifiedBy>charitykamau85@gmail.com</cp:lastModifiedBy>
  <dcterms:created xsi:type="dcterms:W3CDTF">2025-07-09T16:26:20Z</dcterms:created>
  <dcterms:modified xsi:type="dcterms:W3CDTF">2026-03-26T11:43:49Z</dcterms:modified>
</cp:coreProperties>
</file>